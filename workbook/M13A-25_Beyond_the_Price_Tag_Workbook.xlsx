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Executive Decision" sheetId="1" state="visible" r:id="rId3"/>
    <sheet name="2. Player Shortlist" sheetId="2" state="visible" r:id="rId4"/>
    <sheet name="3. Portfolio Optimizer" sheetId="3" state="visible" r:id="rId5"/>
    <sheet name="4. Player Deep Dive" sheetId="4" state="visible" r:id="rId6"/>
    <sheet name="5. Sensitivity" sheetId="5" state="visible" r:id="rId7"/>
    <sheet name="6. Methodology" sheetId="6" state="visible" r:id="rId8"/>
    <sheet name="7. Technical Audit" sheetId="7" state="visible" r:id="rId9"/>
  </sheets>
  <definedNames>
    <definedName function="false" hidden="true" localSheetId="1" name="_xlnm._FilterDatabase" vbProcedure="false">'2. Player Shortlist'!$A$4:$N$154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<sst xmlns="http://schemas.openxmlformats.org/spreadsheetml/2006/main" count="1097" uniqueCount="488">
  <si>
    <t xml:space="preserve">Recruitment Committee - Executive Decision</t>
  </si>
  <si>
    <t xml:space="preserve">Beyond the Price Tag | End of 2024/25 season | Top-5 European leagues</t>
  </si>
  <si>
    <t xml:space="preserve">DECISION INPUTS</t>
  </si>
  <si>
    <t xml:space="preserve">Cells in blue are the levers this committee controls.</t>
  </si>
  <si>
    <t xml:space="preserve">Transfer budget (EUR)</t>
  </si>
  <si>
    <t xml:space="preserve">Max exit risk implied by tolerance</t>
  </si>
  <si>
    <t xml:space="preserve">Attackers required</t>
  </si>
  <si>
    <t xml:space="preserve">Midfielders required</t>
  </si>
  <si>
    <t xml:space="preserve">Defenders required</t>
  </si>
  <si>
    <t xml:space="preserve">Risk tolerance</t>
  </si>
  <si>
    <t xml:space="preserve">Balanced</t>
  </si>
  <si>
    <t xml:space="preserve">RECOMMENDED PORTFOLIO</t>
  </si>
  <si>
    <t xml:space="preserve">Solved by the project's integer linear program (PuLP/CBC) at the default settings above. Excel presents the result; it does not re-solve the optimisation.</t>
  </si>
  <si>
    <t xml:space="preserve">Player</t>
  </si>
  <si>
    <t xml:space="preserve">Position</t>
  </si>
  <si>
    <t xml:space="preserve">League</t>
  </si>
  <si>
    <t xml:space="preserve">Age</t>
  </si>
  <si>
    <t xml:space="preserve">Market value (EUR)</t>
  </si>
  <si>
    <t xml:space="preserve">Model-implied (EUR)</t>
  </si>
  <si>
    <t xml:space="preserve">Quality pctl</t>
  </si>
  <si>
    <t xml:space="preserve">Exit risk</t>
  </si>
  <si>
    <t xml:space="preserve">Lucas Stassin</t>
  </si>
  <si>
    <t xml:space="preserve">Attack</t>
  </si>
  <si>
    <t xml:space="preserve">France - Ligue 1</t>
  </si>
  <si>
    <t xml:space="preserve">Diego Coppola</t>
  </si>
  <si>
    <t xml:space="preserve">Defender</t>
  </si>
  <si>
    <t xml:space="preserve">Italy - Serie A</t>
  </si>
  <si>
    <t xml:space="preserve">Facundo Buonanotte</t>
  </si>
  <si>
    <t xml:space="preserve">Midfield</t>
  </si>
  <si>
    <t xml:space="preserve">England - Premier League</t>
  </si>
  <si>
    <t xml:space="preserve">TOTAL</t>
  </si>
  <si>
    <t xml:space="preserve">PORTFOLIO SUMMARY</t>
  </si>
  <si>
    <t xml:space="preserve">Total committed</t>
  </si>
  <si>
    <t xml:space="preserve">Unused budget</t>
  </si>
  <si>
    <t xml:space="preserve">Mean quality percentile</t>
  </si>
  <si>
    <t xml:space="preserve">Mean exit risk</t>
  </si>
  <si>
    <t xml:space="preserve">Budget utilisation</t>
  </si>
  <si>
    <t xml:space="preserve">KEY RECOMMENDATION</t>
  </si>
  <si>
    <t xml:space="preserve">This is a shortlist for INVESTIGATION, not a bid list. The system cannot establish that any of these transactions would represent value: its own out-of-sample back-test found no reliable link between model-implied valuation gaps and subsequent appreciation. Each name requires contract, medical and scouting review before any approach.</t>
  </si>
  <si>
    <t xml:space="preserve">Player Shortlist - candidates for investigation</t>
  </si>
  <si>
    <t xml:space="preserve">Top 150 of 375 eligible players, from a 1,508-player 2024/25 universe. Ranked by recruitment score.</t>
  </si>
  <si>
    <t xml:space="preserve">Club</t>
  </si>
  <si>
    <t xml:space="preserve">Gap %</t>
  </si>
  <si>
    <t xml:space="preserve">Potential</t>
  </si>
  <si>
    <t xml:space="preserve">Value efficiency</t>
  </si>
  <si>
    <t xml:space="preserve">Uncertainty</t>
  </si>
  <si>
    <t xml:space="preserve">Decision label</t>
  </si>
  <si>
    <t xml:space="preserve">AS Saint-Étienne</t>
  </si>
  <si>
    <t xml:space="preserve">Potential valuation discrepancy - investigate</t>
  </si>
  <si>
    <t xml:space="preserve">Hellas Verona</t>
  </si>
  <si>
    <t xml:space="preserve">Arnaud Kalimuendo</t>
  </si>
  <si>
    <t xml:space="preserve">Stade Rennais FC</t>
  </si>
  <si>
    <t xml:space="preserve">Paul Nebel</t>
  </si>
  <si>
    <t xml:space="preserve">Germany - Bundesliga</t>
  </si>
  <si>
    <t xml:space="preserve">1.FSV Mainz 05</t>
  </si>
  <si>
    <t xml:space="preserve">Rayan Cherki</t>
  </si>
  <si>
    <t xml:space="preserve">Olympique Lyon</t>
  </si>
  <si>
    <t xml:space="preserve">Mika Biereth</t>
  </si>
  <si>
    <t xml:space="preserve">AS Monaco</t>
  </si>
  <si>
    <t xml:space="preserve">Model and market broadly agree</t>
  </si>
  <si>
    <t xml:space="preserve">Nathan Collins</t>
  </si>
  <si>
    <t xml:space="preserve">Brentford FC</t>
  </si>
  <si>
    <t xml:space="preserve">Xavi Simons</t>
  </si>
  <si>
    <t xml:space="preserve">RB Leipzig</t>
  </si>
  <si>
    <t xml:space="preserve">Mason Greenwood</t>
  </si>
  <si>
    <t xml:space="preserve">Olympique Marseille</t>
  </si>
  <si>
    <t xml:space="preserve">Georges Mikautadze</t>
  </si>
  <si>
    <t xml:space="preserve">Maximilian Beier</t>
  </si>
  <si>
    <t xml:space="preserve">Borussia Dortmund</t>
  </si>
  <si>
    <t xml:space="preserve">Leicester City</t>
  </si>
  <si>
    <t xml:space="preserve">Jackson Tchatchoua</t>
  </si>
  <si>
    <t xml:space="preserve">Jack Hinshelwood</t>
  </si>
  <si>
    <t xml:space="preserve">Brighton &amp; Hove Albion</t>
  </si>
  <si>
    <t xml:space="preserve">Morgan Gibbs-White</t>
  </si>
  <si>
    <t xml:space="preserve">Nottingham Forest</t>
  </si>
  <si>
    <t xml:space="preserve">Adrien Truffert</t>
  </si>
  <si>
    <t xml:space="preserve">Nico Paz</t>
  </si>
  <si>
    <t xml:space="preserve">Como 1907</t>
  </si>
  <si>
    <t xml:space="preserve">Milos Kerkez</t>
  </si>
  <si>
    <t xml:space="preserve">AFC Bournemouth</t>
  </si>
  <si>
    <t xml:space="preserve">Florian Wirtz</t>
  </si>
  <si>
    <t xml:space="preserve">Bayer 04 Leverkusen</t>
  </si>
  <si>
    <t xml:space="preserve">Rayan Aït-Nouri</t>
  </si>
  <si>
    <t xml:space="preserve">Wolverhampton Wanderers</t>
  </si>
  <si>
    <t xml:space="preserve">Morgan Rogers</t>
  </si>
  <si>
    <t xml:space="preserve">Aston Villa</t>
  </si>
  <si>
    <t xml:space="preserve">Yacine Adli</t>
  </si>
  <si>
    <t xml:space="preserve">ACF Fiorentina</t>
  </si>
  <si>
    <t xml:space="preserve">Cole Palmer</t>
  </si>
  <si>
    <t xml:space="preserve">Chelsea FC</t>
  </si>
  <si>
    <t xml:space="preserve">Bradley Barcola</t>
  </si>
  <si>
    <t xml:space="preserve">Paris Saint-Germain</t>
  </si>
  <si>
    <t xml:space="preserve">Justin Kluivert</t>
  </si>
  <si>
    <t xml:space="preserve">Philipp Treu</t>
  </si>
  <si>
    <t xml:space="preserve">FC St. Pauli</t>
  </si>
  <si>
    <t xml:space="preserve">Sofiane Diop</t>
  </si>
  <si>
    <t xml:space="preserve">OGC Nice</t>
  </si>
  <si>
    <t xml:space="preserve">Emmanuel Emegha</t>
  </si>
  <si>
    <t xml:space="preserve">RC Strasbourg Alsace</t>
  </si>
  <si>
    <t xml:space="preserve">Gabriele Zappa</t>
  </si>
  <si>
    <t xml:space="preserve">Cagliari Calcio</t>
  </si>
  <si>
    <t xml:space="preserve">Myron Boadu</t>
  </si>
  <si>
    <t xml:space="preserve">VfL Bochum</t>
  </si>
  <si>
    <t xml:space="preserve">Joe Scally</t>
  </si>
  <si>
    <t xml:space="preserve">Borussia Mönchengladbach</t>
  </si>
  <si>
    <t xml:space="preserve">Lamine Yamal</t>
  </si>
  <si>
    <t xml:space="preserve">Spain - LaLiga</t>
  </si>
  <si>
    <t xml:space="preserve">FC Barcelona</t>
  </si>
  <si>
    <t xml:space="preserve">Mohamed Amoura</t>
  </si>
  <si>
    <t xml:space="preserve">VfL Wolfsburg</t>
  </si>
  <si>
    <t xml:space="preserve">Amad Diallo</t>
  </si>
  <si>
    <t xml:space="preserve">Manchester United</t>
  </si>
  <si>
    <t xml:space="preserve">Assane Diao</t>
  </si>
  <si>
    <t xml:space="preserve">Lamine Camara</t>
  </si>
  <si>
    <t xml:space="preserve">Evann Guessand</t>
  </si>
  <si>
    <t xml:space="preserve">Habib Diarra</t>
  </si>
  <si>
    <t xml:space="preserve">Dara O'Shea</t>
  </si>
  <si>
    <t xml:space="preserve">Ipswich Town</t>
  </si>
  <si>
    <t xml:space="preserve">Bence Dárdai</t>
  </si>
  <si>
    <t xml:space="preserve">Maxence Lacroix</t>
  </si>
  <si>
    <t xml:space="preserve">Crystal Palace</t>
  </si>
  <si>
    <t xml:space="preserve">Michael Olise</t>
  </si>
  <si>
    <t xml:space="preserve">Bayern Munich</t>
  </si>
  <si>
    <t xml:space="preserve">Ermedin Demirovic</t>
  </si>
  <si>
    <t xml:space="preserve">VfB Stuttgart</t>
  </si>
  <si>
    <t xml:space="preserve">Charles De Ketelaere</t>
  </si>
  <si>
    <t xml:space="preserve">Atalanta BC</t>
  </si>
  <si>
    <t xml:space="preserve">Rodrigo Muniz</t>
  </si>
  <si>
    <t xml:space="preserve">Fulham FC</t>
  </si>
  <si>
    <t xml:space="preserve">Enzo Millot</t>
  </si>
  <si>
    <t xml:space="preserve">Farès Chaïbi</t>
  </si>
  <si>
    <t xml:space="preserve">Eintracht Frankfurt</t>
  </si>
  <si>
    <t xml:space="preserve">Jonathan Burkardt</t>
  </si>
  <si>
    <t xml:space="preserve">Paul Wanner</t>
  </si>
  <si>
    <t xml:space="preserve">1. Fußballclub Heidenheim 1846</t>
  </si>
  <si>
    <t xml:space="preserve">Jamal Musiala</t>
  </si>
  <si>
    <t xml:space="preserve">Brennan Johnson</t>
  </si>
  <si>
    <t xml:space="preserve">Tottenham Hotspur</t>
  </si>
  <si>
    <t xml:space="preserve">Victor Boniface</t>
  </si>
  <si>
    <t xml:space="preserve">Tyrick Mitchell</t>
  </si>
  <si>
    <t xml:space="preserve">Amine Gouiri</t>
  </si>
  <si>
    <t xml:space="preserve">Taylor Harwood-Bellis</t>
  </si>
  <si>
    <t xml:space="preserve">Southampton FC</t>
  </si>
  <si>
    <t xml:space="preserve">Anthony Elanga</t>
  </si>
  <si>
    <t xml:space="preserve">Tim Oermann</t>
  </si>
  <si>
    <t xml:space="preserve">Mateus Fernandes</t>
  </si>
  <si>
    <t xml:space="preserve">Jay Idzes</t>
  </si>
  <si>
    <t xml:space="preserve">Venezia FC</t>
  </si>
  <si>
    <t xml:space="preserve">Alexis Saelemaekers</t>
  </si>
  <si>
    <t xml:space="preserve">Associazione Sportiva Roma</t>
  </si>
  <si>
    <t xml:space="preserve">Dwight McNeil</t>
  </si>
  <si>
    <t xml:space="preserve">Everton FC</t>
  </si>
  <si>
    <t xml:space="preserve">Shuto Machino</t>
  </si>
  <si>
    <t xml:space="preserve">Holstein Kiel</t>
  </si>
  <si>
    <t xml:space="preserve">Ilya Zabarnyi</t>
  </si>
  <si>
    <t xml:space="preserve">João Pedro</t>
  </si>
  <si>
    <t xml:space="preserve">Josko Gvardiol</t>
  </si>
  <si>
    <t xml:space="preserve">Manchester City</t>
  </si>
  <si>
    <t xml:space="preserve">Evan Ndicka</t>
  </si>
  <si>
    <t xml:space="preserve">Levi Colwill</t>
  </si>
  <si>
    <t xml:space="preserve">Gonçalo Ramos</t>
  </si>
  <si>
    <t xml:space="preserve">Omar Marmoush</t>
  </si>
  <si>
    <t xml:space="preserve">Saba Goglichidze</t>
  </si>
  <si>
    <t xml:space="preserve">FC Empoli</t>
  </si>
  <si>
    <t xml:space="preserve">Bukayo Saka</t>
  </si>
  <si>
    <t xml:space="preserve">Arsenal FC</t>
  </si>
  <si>
    <t xml:space="preserve">Bryan Mbeumo</t>
  </si>
  <si>
    <t xml:space="preserve">Désiré Doué</t>
  </si>
  <si>
    <t xml:space="preserve">Dušan Vlahović</t>
  </si>
  <si>
    <t xml:space="preserve">Juventus FC</t>
  </si>
  <si>
    <t xml:space="preserve">Nadir Zortea</t>
  </si>
  <si>
    <t xml:space="preserve">Ferran Torres</t>
  </si>
  <si>
    <t xml:space="preserve">Félix Lemaréchal</t>
  </si>
  <si>
    <t xml:space="preserve">Mateo Retegui</t>
  </si>
  <si>
    <t xml:space="preserve">Zuriko Davitashvili</t>
  </si>
  <si>
    <t xml:space="preserve">Luis Henrique</t>
  </si>
  <si>
    <t xml:space="preserve">Murillo</t>
  </si>
  <si>
    <t xml:space="preserve">Emanuele Valeri</t>
  </si>
  <si>
    <t xml:space="preserve">Parma Calcio 1913</t>
  </si>
  <si>
    <t xml:space="preserve">Antonino Gallo</t>
  </si>
  <si>
    <t xml:space="preserve">US Lecce</t>
  </si>
  <si>
    <t xml:space="preserve">Nicolas Jackson</t>
  </si>
  <si>
    <t xml:space="preserve">Eberechi Eze</t>
  </si>
  <si>
    <t xml:space="preserve">Kang-in Lee</t>
  </si>
  <si>
    <t xml:space="preserve">Hugo Ekitiké</t>
  </si>
  <si>
    <t xml:space="preserve">Dejan Kulusevski</t>
  </si>
  <si>
    <t xml:space="preserve">Calvin Bassey</t>
  </si>
  <si>
    <t xml:space="preserve">Alexander Isak</t>
  </si>
  <si>
    <t xml:space="preserve">Newcastle United</t>
  </si>
  <si>
    <t xml:space="preserve">Ismaël Doukouré</t>
  </si>
  <si>
    <t xml:space="preserve">Matheus Cunha</t>
  </si>
  <si>
    <t xml:space="preserve">Enrico Delprato</t>
  </si>
  <si>
    <t xml:space="preserve">Jean-Ricner Bellegarde</t>
  </si>
  <si>
    <t xml:space="preserve">João Neves</t>
  </si>
  <si>
    <t xml:space="preserve">Victor Kristiansen</t>
  </si>
  <si>
    <t xml:space="preserve">Diego Moreira</t>
  </si>
  <si>
    <t xml:space="preserve">Luca Ranieri</t>
  </si>
  <si>
    <t xml:space="preserve">Jørgen Strand Larsen</t>
  </si>
  <si>
    <t xml:space="preserve">Romano Schmid</t>
  </si>
  <si>
    <t xml:space="preserve">SV Werder Bremen</t>
  </si>
  <si>
    <t xml:space="preserve">Marcus Tavernier</t>
  </si>
  <si>
    <t xml:space="preserve">Jonathan David</t>
  </si>
  <si>
    <t xml:space="preserve">LOSC Lille</t>
  </si>
  <si>
    <t xml:space="preserve">Christian Pulisic</t>
  </si>
  <si>
    <t xml:space="preserve">AC Milan</t>
  </si>
  <si>
    <t xml:space="preserve">Andrey Santos</t>
  </si>
  <si>
    <t xml:space="preserve">Omar Traoré</t>
  </si>
  <si>
    <t xml:space="preserve">Erling Haaland</t>
  </si>
  <si>
    <t xml:space="preserve">Julio Enciso</t>
  </si>
  <si>
    <t xml:space="preserve">Savinho</t>
  </si>
  <si>
    <t xml:space="preserve">Thierno Barry</t>
  </si>
  <si>
    <t xml:space="preserve">Villarreal CF</t>
  </si>
  <si>
    <t xml:space="preserve">Bart Verbruggen</t>
  </si>
  <si>
    <t xml:space="preserve">Goalkeeper</t>
  </si>
  <si>
    <t xml:space="preserve">Dilane Bakwa</t>
  </si>
  <si>
    <t xml:space="preserve">Sepp van den Berg</t>
  </si>
  <si>
    <t xml:space="preserve">Jacopo Fazzini</t>
  </si>
  <si>
    <t xml:space="preserve">Hákon Arnar Haraldsson</t>
  </si>
  <si>
    <t xml:space="preserve">Charlie Cresswell</t>
  </si>
  <si>
    <t xml:space="preserve">FC Toulouse</t>
  </si>
  <si>
    <t xml:space="preserve">Marc Guéhi</t>
  </si>
  <si>
    <t xml:space="preserve">Fabio Miretti</t>
  </si>
  <si>
    <t xml:space="preserve">Genoa CFC</t>
  </si>
  <si>
    <t xml:space="preserve">Lassine Sinayoko</t>
  </si>
  <si>
    <t xml:space="preserve">AJ Auxerre</t>
  </si>
  <si>
    <t xml:space="preserve">Alexis Claude-Maurice</t>
  </si>
  <si>
    <t xml:space="preserve">FC Augsburg</t>
  </si>
  <si>
    <t xml:space="preserve">Tom Bischof</t>
  </si>
  <si>
    <t xml:space="preserve">TSG 1899 Hoffenheim</t>
  </si>
  <si>
    <t xml:space="preserve">William Saliba</t>
  </si>
  <si>
    <t xml:space="preserve">Nick Woltemade</t>
  </si>
  <si>
    <t xml:space="preserve">Neil El Aynaoui</t>
  </si>
  <si>
    <t xml:space="preserve">RC Lens</t>
  </si>
  <si>
    <t xml:space="preserve">Danilho Doekhi</t>
  </si>
  <si>
    <t xml:space="preserve">1.FC Union Berlin</t>
  </si>
  <si>
    <t xml:space="preserve">Raoul Bellanova</t>
  </si>
  <si>
    <t xml:space="preserve">Karim Adeyemi</t>
  </si>
  <si>
    <t xml:space="preserve">Mikkel Damsgaard</t>
  </si>
  <si>
    <t xml:space="preserve">Benjamin Sesko</t>
  </si>
  <si>
    <t xml:space="preserve">Gaetano Oristanio</t>
  </si>
  <si>
    <t xml:space="preserve">Kylian Mbappé</t>
  </si>
  <si>
    <t xml:space="preserve">Real Madrid</t>
  </si>
  <si>
    <t xml:space="preserve">Hugo Duro</t>
  </si>
  <si>
    <t xml:space="preserve">Valencia CF</t>
  </si>
  <si>
    <t xml:space="preserve">Gvidas Gineitis</t>
  </si>
  <si>
    <t xml:space="preserve">Torino FC</t>
  </si>
  <si>
    <t xml:space="preserve">Jamie Gittens</t>
  </si>
  <si>
    <t xml:space="preserve">Ridle Baku</t>
  </si>
  <si>
    <t xml:space="preserve">Tino Livramento</t>
  </si>
  <si>
    <t xml:space="preserve">Khéphren Thuram</t>
  </si>
  <si>
    <t xml:space="preserve">Dominik Szoboszlai</t>
  </si>
  <si>
    <t xml:space="preserve">Liverpool FC</t>
  </si>
  <si>
    <t xml:space="preserve">Tino Anjorin</t>
  </si>
  <si>
    <t xml:space="preserve">Loïs Openda</t>
  </si>
  <si>
    <t xml:space="preserve">Guéla Doué</t>
  </si>
  <si>
    <t xml:space="preserve">Davide Frattesi</t>
  </si>
  <si>
    <t xml:space="preserve">Inter Milan</t>
  </si>
  <si>
    <t xml:space="preserve">Fábio Silva</t>
  </si>
  <si>
    <t xml:space="preserve">UD Las Palmas</t>
  </si>
  <si>
    <t xml:space="preserve">Vitaliy Mykolenko</t>
  </si>
  <si>
    <t xml:space="preserve">Randal Kolo Muani</t>
  </si>
  <si>
    <t xml:space="preserve">Vinicius Junior</t>
  </si>
  <si>
    <t xml:space="preserve">Marc Cucurella</t>
  </si>
  <si>
    <t xml:space="preserve">Étienne Youté Kinkoué</t>
  </si>
  <si>
    <t xml:space="preserve">Le Havre AC</t>
  </si>
  <si>
    <t xml:space="preserve">Clément Akpa</t>
  </si>
  <si>
    <t xml:space="preserve">Mamadou Sarr</t>
  </si>
  <si>
    <t xml:space="preserve">Omari Hutchinson</t>
  </si>
  <si>
    <t xml:space="preserve">NOTE: no player is labelled "undervalued". The out-of-sample back-test did not support the hypothesis that valuation residuals identify exploitable mispricing.</t>
  </si>
  <si>
    <t xml:space="preserve">Portfolio Optimizer - scenario view</t>
  </si>
  <si>
    <t xml:space="preserve">Pre-solved scenarios from the Python integer linear program. Excel presents results; it does not solve the ILP.</t>
  </si>
  <si>
    <t xml:space="preserve">BUDGET SCENARIOS</t>
  </si>
  <si>
    <t xml:space="preserve">Budget (EUR m)</t>
  </si>
  <si>
    <t xml:space="preserve">Committed (EUR m)</t>
  </si>
  <si>
    <t xml:space="preserve">Unused (EUR m)</t>
  </si>
  <si>
    <t xml:space="preserve">Mean quality pctl</t>
  </si>
  <si>
    <t xml:space="preserve">Recommended players</t>
  </si>
  <si>
    <t xml:space="preserve">Gabriele Zappa, Myron Boadu, Farès Chaïbi</t>
  </si>
  <si>
    <t xml:space="preserve">Philipp Treu, Yacine Adli, Lucas Stassin</t>
  </si>
  <si>
    <t xml:space="preserve">Lucas Stassin, Diego Coppola, Facundo Buonanotte</t>
  </si>
  <si>
    <t xml:space="preserve">Paul Nebel, Lucas Stassin, Diego Coppola</t>
  </si>
  <si>
    <t xml:space="preserve">Observation: recommended spend plateaus at EUR 52.0m. Identical portfolios are returned at EUR 75m and EUR 100m because the eligibility constraints - quality floor, age ceiling, exit-risk ceiling, uncertainty ceiling - bind before the budget does. Relaxing a constraint may be worth more than raising the budget. This is a property of the model's eligible universe, not evidence of a EUR 52m optimum in the real transfer market.</t>
  </si>
  <si>
    <t xml:space="preserve">STRATEGY COMPARISON</t>
  </si>
  <si>
    <t xml:space="preserve">Strategy</t>
  </si>
  <si>
    <t xml:space="preserve">Spend (EUR m)</t>
  </si>
  <si>
    <t xml:space="preserve">Predicted exit risk</t>
  </si>
  <si>
    <t xml:space="preserve">Mean age</t>
  </si>
  <si>
    <t xml:space="preserve">Risk-aware (recommended)</t>
  </si>
  <si>
    <t xml:space="preserve">Largest valuation gap (rejected objective)</t>
  </si>
  <si>
    <t xml:space="preserve">Cheapest meeting needs</t>
  </si>
  <si>
    <t xml:space="preserve">The cheapest feasible portfolio has a mean age of 35.5 and a two-in-three predicted exit risk. It illustrates what unconstrained value-hunting selects when nothing restrains it.</t>
  </si>
  <si>
    <t xml:space="preserve">Player Deep Dive - decision card</t>
  </si>
  <si>
    <t xml:space="preserve">Complete decision record for each recommended player.</t>
  </si>
  <si>
    <t xml:space="preserve">Attack | AS Saint-Étienne | France - Ligue 1 | age 20.1 | 1,868 league minutes</t>
  </si>
  <si>
    <t xml:space="preserve">Market value</t>
  </si>
  <si>
    <t xml:space="preserve">PREDICTION EXPLANATION (SHAP)</t>
  </si>
  <si>
    <t xml:space="preserve">Model-implied value</t>
  </si>
  <si>
    <t xml:space="preserve">Why the model values him this way</t>
  </si>
  <si>
    <t xml:space="preserve">Valuation gap</t>
  </si>
  <si>
    <t xml:space="preserve">Raises valuation:</t>
  </si>
  <si>
    <t xml:space="preserve">Quality percentile</t>
  </si>
  <si>
    <t xml:space="preserve">goal contributions per 90 (+1.028); age (+0.740); goals per 90 (+0.104); assists per 90 (+0.073); league minutes played (+0.042)</t>
  </si>
  <si>
    <t xml:space="preserve">Development potential</t>
  </si>
  <si>
    <t xml:space="preserve">Lowers valuation:</t>
  </si>
  <si>
    <t xml:space="preserve">plays in France - Ligue 1 (-0.372); minutes last season (-0.091); minutes per appearance (-0.045); contributions per 90 last season (-0.040); 3-season average minutes (-0.031)</t>
  </si>
  <si>
    <t xml:space="preserve">Exit probability</t>
  </si>
  <si>
    <t xml:space="preserve">Model uncertainty</t>
  </si>
  <si>
    <t xml:space="preserve">SELECTION EXPLANATION (optimizer)</t>
  </si>
  <si>
    <t xml:space="preserve">Why the system selected him</t>
  </si>
  <si>
    <t xml:space="preserve">Selected under a EUR 50m budget requiring one defender, one midfielder and one attacker. Scored on quality 90th percentile, development potential 0.76, value efficiency 0.82, against a risk component of 0.12.</t>
  </si>
  <si>
    <t xml:space="preserve">WHAT THE MODEL DOES NOT KNOW</t>
  </si>
  <si>
    <t xml:space="preserve">No contract length or expiry, injury history or fitness, scouting or tactical assessment, off-field circumstances, or willingness to move. The valuation model carries a median error of 43.9% on held-out data and systematically under-values players aged 21 and under.</t>
  </si>
  <si>
    <t xml:space="preserve">Defender | Hellas Verona | Italy - Serie A | age 21.0 | 2,926 league minutes</t>
  </si>
  <si>
    <t xml:space="preserve">age (+0.955); league minutes played (+0.336); height (+0.138); minutes per appearance (+0.114); plays in France - Ligue 1 (+0.081)</t>
  </si>
  <si>
    <t xml:space="preserve">goal contributions per 90 (-0.179); plays in Italy - Serie A (-0.155); club squad size / rotation (-0.140); 3-season average minutes (-0.053); assists per 90 (-0.026)</t>
  </si>
  <si>
    <t xml:space="preserve">Selected under a EUR 50m budget requiring one defender, one midfielder and one attacker. Scored on quality 89th percentile, development potential 0.69, value efficiency 0.93, against a risk component of 0.33.</t>
  </si>
  <si>
    <t xml:space="preserve">Midfield | Leicester City | England - Premier League | age 20.0 | 1,514 league minutes</t>
  </si>
  <si>
    <t xml:space="preserve">age (+0.764); goal contributions per 90 (+0.137); plays in Spain - LaLiga (+0.120); plays in France - Ligue 1 (+0.116); plays in Germany - Bundesliga (+0.108)</t>
  </si>
  <si>
    <t xml:space="preserve">league minutes played (-0.143); minutes per appearance (-0.099); club squad size / rotation (-0.082); disciplinary record (-0.055); 3-season average minutes (-0.051)</t>
  </si>
  <si>
    <t xml:space="preserve">Selected under a EUR 50m budget requiring one defender, one midfielder and one attacker. Scored on quality 86th percentile, development potential 0.77, value efficiency 0.57, against a risk component of 0.24.</t>
  </si>
  <si>
    <t xml:space="preserve">Sensitivity - would different assumptions change the answer?</t>
  </si>
  <si>
    <t xml:space="preserve">Weight and budget sensitivity from the frozen optimizer run.</t>
  </si>
  <si>
    <t xml:space="preserve">WEIGHT SENSITIVITY</t>
  </si>
  <si>
    <t xml:space="preserve">Quality</t>
  </si>
  <si>
    <t xml:space="preserve">Risk penalty</t>
  </si>
  <si>
    <t xml:space="preserve">Paul Nebel, Lucas Stassin, Jackson Tchatchoua</t>
  </si>
  <si>
    <t xml:space="preserve">Yacine Adli, Lucas Stassin, Diego Coppola</t>
  </si>
  <si>
    <t xml:space="preserve">SELECTION STABILITY</t>
  </si>
  <si>
    <t xml:space="preserve">Appears in</t>
  </si>
  <si>
    <t xml:space="preserve">Share of scenarios</t>
  </si>
  <si>
    <t xml:space="preserve">6 of 6</t>
  </si>
  <si>
    <t xml:space="preserve">4 of 6</t>
  </si>
  <si>
    <t xml:space="preserve">3 of 6</t>
  </si>
  <si>
    <t xml:space="preserve">2 of 6</t>
  </si>
  <si>
    <t xml:space="preserve">1 of 6</t>
  </si>
  <si>
    <t xml:space="preserve">Interpretation: meaningful stability rather than complete invariance. The core recommendation persists across weightings while the remainder of the portfolio shifts with the emphasis placed on quality, potential, affordability and risk.</t>
  </si>
  <si>
    <t xml:space="preserve">Methodology and definitions</t>
  </si>
  <si>
    <t xml:space="preserve">Audit reference for the committee.</t>
  </si>
  <si>
    <t xml:space="preserve">Item</t>
  </si>
  <si>
    <t xml:space="preserve">Definition</t>
  </si>
  <si>
    <t xml:space="preserve">Note</t>
  </si>
  <si>
    <t xml:space="preserve">SCOPE</t>
  </si>
  <si>
    <t xml:space="preserve">Data source</t>
  </si>
  <si>
    <t xml:space="preserve">davidcariboo/player-scores (Transfermarkt export), frozen locally</t>
  </si>
  <si>
    <t xml:space="preserve">Leagues</t>
  </si>
  <si>
    <t xml:space="preserve">England, Spain, Germany, Italy, France</t>
  </si>
  <si>
    <t xml:space="preserve">Seasons</t>
  </si>
  <si>
    <t xml:space="preserve">2015/16 - 2024/25</t>
  </si>
  <si>
    <t xml:space="preserve">Playing-time floor</t>
  </si>
  <si>
    <t xml:space="preserve">&gt;= 900 league minutes per player-season</t>
  </si>
  <si>
    <t xml:space="preserve">Information cutoff</t>
  </si>
  <si>
    <t xml:space="preserve">26 August 2026</t>
  </si>
  <si>
    <t xml:space="preserve">Nothing dated after this is used</t>
  </si>
  <si>
    <t xml:space="preserve">Analysis table</t>
  </si>
  <si>
    <t xml:space="preserve">15,925 player-seasons, 4,961 players</t>
  </si>
  <si>
    <t xml:space="preserve">Decision point</t>
  </si>
  <si>
    <t xml:space="preserve">End of 2024/25 season</t>
  </si>
  <si>
    <t xml:space="preserve">Before 2025/26 outcomes are known</t>
  </si>
  <si>
    <t xml:space="preserve">TARGET</t>
  </si>
  <si>
    <t xml:space="preserve">Log market value, first valuation strictly after the player's final match</t>
  </si>
  <si>
    <t xml:space="preserve">Median lag 22 days</t>
  </si>
  <si>
    <t xml:space="preserve">Normalisation</t>
  </si>
  <si>
    <t xml:space="preserve">Training seasons demeaned by own median; final training level carried forward</t>
  </si>
  <si>
    <t xml:space="preserve">Season dummies cannot extrapolate to an unseen season</t>
  </si>
  <si>
    <t xml:space="preserve">Terminology</t>
  </si>
  <si>
    <t xml:space="preserve">Model-implied fair value</t>
  </si>
  <si>
    <t xml:space="preserve">Not 'fair value' - the target is itself an estimate</t>
  </si>
  <si>
    <t xml:space="preserve">MODELS</t>
  </si>
  <si>
    <t xml:space="preserve">Model 0</t>
  </si>
  <si>
    <t xml:space="preserve">Age, age-squared, position, league</t>
  </si>
  <si>
    <t xml:space="preserve">Context benchmark</t>
  </si>
  <si>
    <t xml:space="preserve">Model 1 (PRIMARY)</t>
  </si>
  <si>
    <t xml:space="preserve">Model 0 + performance + performance trajectory + club context</t>
  </si>
  <si>
    <t xml:space="preserve">Residual is the mispricing signal</t>
  </si>
  <si>
    <t xml:space="preserve">Model 2</t>
  </si>
  <si>
    <t xml:space="preserve">Model 1 + prior market value</t>
  </si>
  <si>
    <t xml:space="preserve">Robustness only - residual not interpretable</t>
  </si>
  <si>
    <t xml:space="preserve">Valuation estimator</t>
  </si>
  <si>
    <t xml:space="preserve">scikit-learn HistGradientBoostingRegressor</t>
  </si>
  <si>
    <t xml:space="preserve">Ridge as interpretable baseline</t>
  </si>
  <si>
    <t xml:space="preserve">Trajectory</t>
  </si>
  <si>
    <t xml:space="preserve">PERFORMANCE history, not valuation history</t>
  </si>
  <si>
    <t xml:space="preserve">Prevents the model reproducing market persistence</t>
  </si>
  <si>
    <t xml:space="preserve">VALIDATION</t>
  </si>
  <si>
    <t xml:space="preserve">Train</t>
  </si>
  <si>
    <t xml:space="preserve">2015/16 - 2021/22 (11,173 rows)</t>
  </si>
  <si>
    <t xml:space="preserve">Validation</t>
  </si>
  <si>
    <t xml:space="preserve">2022/23 - 2023/24 (3,244 rows)</t>
  </si>
  <si>
    <t xml:space="preserve">All tuning and thresholds fixed here</t>
  </si>
  <si>
    <t xml:space="preserve">Test</t>
  </si>
  <si>
    <t xml:space="preserve">2024/25 (1,508 rows)</t>
  </si>
  <si>
    <t xml:space="preserve">Examined once</t>
  </si>
  <si>
    <t xml:space="preserve">EXIT RISK</t>
  </si>
  <si>
    <t xml:space="preserve">Fewer than 900 top-5 league minutes in the following season</t>
  </si>
  <si>
    <t xml:space="preserve">Base rate 33.5%</t>
  </si>
  <si>
    <t xml:space="preserve">Production model</t>
  </si>
  <si>
    <t xml:space="preserve">Logistic regression</t>
  </si>
  <si>
    <t xml:space="preserve">Test AUC 0.7323</t>
  </si>
  <si>
    <t xml:space="preserve">Challenger</t>
  </si>
  <si>
    <t xml:space="preserve">HistGradientBoostingClassifier</t>
  </si>
  <si>
    <t xml:space="preserve">Test AUC 0.7283</t>
  </si>
  <si>
    <t xml:space="preserve">OPTIMIZER</t>
  </si>
  <si>
    <t xml:space="preserve">Objective</t>
  </si>
  <si>
    <t xml:space="preserve">0.35 x Quality + 0.25 x Potential + 0.20 x Value efficiency - 0.20 x Risk</t>
  </si>
  <si>
    <t xml:space="preserve">Weights declared in writing before execution</t>
  </si>
  <si>
    <t xml:space="preserve">Position-appropriate performance percentile</t>
  </si>
  <si>
    <t xml:space="preserve">Output for attackers/midfielders; availability for defenders/keepers</t>
  </si>
  <si>
    <t xml:space="preserve">Development runway, declining to zero at age 30</t>
  </si>
  <si>
    <t xml:space="preserve">Hard recruitment ceiling is 27</t>
  </si>
  <si>
    <t xml:space="preserve">Model-implied / market value, capped at pre-test 90th percentile</t>
  </si>
  <si>
    <t xml:space="preserve">Risk</t>
  </si>
  <si>
    <t xml:space="preserve">0.7 x exit probability + 0.3 x segment uncertainty</t>
  </si>
  <si>
    <t xml:space="preserve">Median absolute residual by position x league, fitted on train+validation only</t>
  </si>
  <si>
    <t xml:space="preserve">Never derived from 2024/25 outcomes</t>
  </si>
  <si>
    <t xml:space="preserve">Solver</t>
  </si>
  <si>
    <t xml:space="preserve">PuLP / CBC integer linear program</t>
  </si>
  <si>
    <t xml:space="preserve">Greedy heuristic reported alongside</t>
  </si>
  <si>
    <t xml:space="preserve">LIMITATIONS</t>
  </si>
  <si>
    <t xml:space="preserve">Target is an estimate</t>
  </si>
  <si>
    <t xml:space="preserve">Transfermarkt value is a community valuation, not a transacted price</t>
  </si>
  <si>
    <t xml:space="preserve">Fee coverage</t>
  </si>
  <si>
    <t xml:space="preserve">Only 10.0% of transfer records carry a positive fee</t>
  </si>
  <si>
    <t xml:space="preserve">Mispricing hypothesis</t>
  </si>
  <si>
    <t xml:space="preserve">Tested out-of-sample and NOT supported (p = 0.307)</t>
  </si>
  <si>
    <t xml:space="preserve">Model bias</t>
  </si>
  <si>
    <t xml:space="preserve">Systematically under-values players aged &lt;= 21; replicates across 3 seasons</t>
  </si>
  <si>
    <t xml:space="preserve">Portfolio status</t>
  </si>
  <si>
    <t xml:space="preserve">Illustrative application of a validated risk model - NOT validated at n = 3</t>
  </si>
  <si>
    <t xml:space="preserve">Unobserved</t>
  </si>
  <si>
    <t xml:space="preserve">Contract, injury, tactical, scouting and personal information</t>
  </si>
  <si>
    <t xml:space="preserve">Technical audit and provenance</t>
  </si>
  <si>
    <t xml:space="preserve">Every figure in this workbook originates in a frozen artifact.</t>
  </si>
  <si>
    <t xml:space="preserve">Check</t>
  </si>
  <si>
    <t xml:space="preserve">Value</t>
  </si>
  <si>
    <t xml:space="preserve">Source artifact</t>
  </si>
  <si>
    <t xml:space="preserve">2024/25 test universe</t>
  </si>
  <si>
    <t xml:space="preserve">1,508 players</t>
  </si>
  <si>
    <t xml:space="preserve">optimizer_input_2024_25.csv</t>
  </si>
  <si>
    <t xml:space="preserve">Eligible under default constraints</t>
  </si>
  <si>
    <t xml:space="preserve">375</t>
  </si>
  <si>
    <t xml:space="preserve">computed from frozen inputs</t>
  </si>
  <si>
    <t xml:space="preserve">15,925 player-seasons</t>
  </si>
  <si>
    <t xml:space="preserve">player_season.csv</t>
  </si>
  <si>
    <t xml:space="preserve">Unique players</t>
  </si>
  <si>
    <t xml:space="preserve">4,961</t>
  </si>
  <si>
    <t xml:space="preserve">Valuation model</t>
  </si>
  <si>
    <t xml:space="preserve">HistGradientBoostingRegressor</t>
  </si>
  <si>
    <t xml:space="preserve">modelling.py</t>
  </si>
  <si>
    <t xml:space="preserve">Valuation test R2 (relative)</t>
  </si>
  <si>
    <t xml:space="preserve">0.678</t>
  </si>
  <si>
    <t xml:space="preserve">model_results.csv</t>
  </si>
  <si>
    <t xml:space="preserve">Valuation median % error</t>
  </si>
  <si>
    <t xml:space="preserve">43.9%</t>
  </si>
  <si>
    <t xml:space="preserve">Exit model (production)</t>
  </si>
  <si>
    <t xml:space="preserve">exit_risk_model.py</t>
  </si>
  <si>
    <t xml:space="preserve">Exit model test AUC</t>
  </si>
  <si>
    <t xml:space="preserve">0.7323</t>
  </si>
  <si>
    <t xml:space="preserve">exit_risk_performance.csv</t>
  </si>
  <si>
    <t xml:space="preserve">Exit model test Brier</t>
  </si>
  <si>
    <t xml:space="preserve">0.1861</t>
  </si>
  <si>
    <t xml:space="preserve">Mispricing back-test p-value</t>
  </si>
  <si>
    <t xml:space="preserve">0.307</t>
  </si>
  <si>
    <t xml:space="preserve">v2_backtest_outcome.csv</t>
  </si>
  <si>
    <t xml:space="preserve">Attrition, flagged vs benchmark</t>
  </si>
  <si>
    <t xml:space="preserve">30.1% vs 8.2%</t>
  </si>
  <si>
    <t xml:space="preserve">v2_backtest_audit.csv</t>
  </si>
  <si>
    <t xml:space="preserve">Optimizer solver</t>
  </si>
  <si>
    <t xml:space="preserve">PuLP CBC (integer linear program)</t>
  </si>
  <si>
    <t xml:space="preserve">optimizer.py</t>
  </si>
  <si>
    <t xml:space="preserve">Recommended portfolio spend</t>
  </si>
  <si>
    <t xml:space="preserve">EUR 48.0m of EUR 50m</t>
  </si>
  <si>
    <t xml:space="preserve">recommended_portfolio.csv</t>
  </si>
  <si>
    <t xml:space="preserve">Value-efficiency cap</t>
  </si>
  <si>
    <t xml:space="preserve">2.116 (pre-test 90th percentile)</t>
  </si>
  <si>
    <t xml:space="preserve">pretest_constants.csv</t>
  </si>
  <si>
    <t xml:space="preserve">Uncertainty source</t>
  </si>
  <si>
    <t xml:space="preserve">train+validation seasons only</t>
  </si>
  <si>
    <t xml:space="preserve">pretest_segment_uncertainty.csv</t>
  </si>
  <si>
    <t xml:space="preserve">LEAKAGE CONTROLS</t>
  </si>
  <si>
    <t xml:space="preserve">No 2025/26 outcome used in optimizer</t>
  </si>
  <si>
    <t xml:space="preserve">Confirmed</t>
  </si>
  <si>
    <t xml:space="preserve">optimizer_specification.md</t>
  </si>
  <si>
    <t xml:space="preserve">Uncertainty not derived from test</t>
  </si>
  <si>
    <t xml:space="preserve">Confirmed - fitted on seasons &lt;= 2023</t>
  </si>
  <si>
    <t xml:space="preserve">Value cap not derived from test</t>
  </si>
  <si>
    <t xml:space="preserve">Thresholds fixed on validation only</t>
  </si>
  <si>
    <t xml:space="preserve">v2_threshold_selection.csv</t>
  </si>
  <si>
    <t xml:space="preserve">Test season examined once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</si>
</sst>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&quot;EUR &quot;#,##0"/>
    <numFmt numFmtId="166" formatCode="0%"/>
    <numFmt numFmtId="167" formatCode="0.0"/>
    <numFmt numFmtId="168" formatCode="0.0%"/>
    <numFmt numFmtId="169" formatCode="\+0.0;\-0.0"/>
    <numFmt numFmtId="170" formatCode="#,##0.0"/>
    <numFmt numFmtId="171" formatCode="\+0.0%;\-0.0%"/>
    <numFmt numFmtId="172" formatCode="0"/>
    <numFmt numFmtId="173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212E"/>
      <name val="Arial"/>
      <family val="2"/>
      <charset val="1"/>
    </font>
    <font>
      <sz val="9"/>
      <color rgb="FF666666"/>
      <name val="Arial"/>
      <family val="2"/>
      <charset val="1"/>
    </font>
    <font>
      <b val="true"/>
      <sz val="10"/>
      <color rgb="FF12212E"/>
      <name val="Arial"/>
      <family val="2"/>
      <charset val="1"/>
    </font>
    <font>
      <sz val="10"/>
      <color rgb="FF333333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0"/>
      <color rgb="FF9B3F2E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12212E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E6"/>
        <bgColor rgb="FFFFFFFF"/>
      </patternFill>
    </fill>
    <fill>
      <patternFill patternType="solid">
        <fgColor rgb="FF12212E"/>
        <bgColor rgb="FF333333"/>
      </patternFill>
    </fill>
    <fill>
      <patternFill patternType="solid">
        <fgColor rgb="FFEFEFEC"/>
        <bgColor rgb="FFDFEA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CD8D0"/>
      </left>
      <right style="thin">
        <color rgb="FFDCD8D0"/>
      </right>
      <top style="thin">
        <color rgb="FFDCD8D0"/>
      </top>
      <bottom style="thin">
        <color rgb="FFDCD8D0"/>
      </bottom>
      <diagonal/>
    </border>
    <border diagonalUp="false" diagonalDown="false">
      <left style="thin">
        <color rgb="FFDCD8D0"/>
      </left>
      <right/>
      <top style="thin">
        <color rgb="FFDCD8D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2">
    <dxf>
      <fill>
        <patternFill patternType="solid">
          <fgColor rgb="FF1221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EEAF6"/>
          <bgColor rgb="FF000000"/>
        </patternFill>
      </fill>
    </dxf>
    <dxf>
      <fill>
        <patternFill patternType="solid">
          <fgColor rgb="FFE1EBF2"/>
          <bgColor rgb="FF000000"/>
        </patternFill>
      </fill>
    </dxf>
    <dxf>
      <fill>
        <patternFill patternType="solid">
          <fgColor rgb="FFE4ECEF"/>
          <bgColor rgb="FF000000"/>
        </patternFill>
      </fill>
    </dxf>
    <dxf>
      <fill>
        <patternFill patternType="solid">
          <fgColor rgb="FFE7ECEB"/>
          <bgColor rgb="FF000000"/>
        </patternFill>
      </fill>
    </dxf>
    <dxf>
      <fill>
        <patternFill patternType="solid">
          <fgColor rgb="FFE9EDE8"/>
          <bgColor rgb="FF000000"/>
        </patternFill>
      </fill>
    </dxf>
    <dxf>
      <fill>
        <patternFill patternType="solid">
          <fgColor rgb="FFECEEE4"/>
          <bgColor rgb="FF000000"/>
        </patternFill>
      </fill>
    </dxf>
    <dxf>
      <fill>
        <patternFill patternType="solid">
          <fgColor rgb="FFEFEEE1"/>
          <bgColor rgb="FF000000"/>
        </patternFill>
      </fill>
    </dxf>
    <dxf>
      <fill>
        <patternFill patternType="solid">
          <fgColor rgb="FFF2EFDD"/>
          <bgColor rgb="FF000000"/>
        </patternFill>
      </fill>
    </dxf>
    <dxf>
      <fill>
        <patternFill patternType="solid">
          <fgColor rgb="FFF4F0DA"/>
          <bgColor rgb="FF000000"/>
        </patternFill>
      </fill>
    </dxf>
    <dxf>
      <fill>
        <patternFill patternType="solid">
          <fgColor rgb="FFF7F0D6"/>
          <bgColor rgb="FF000000"/>
        </patternFill>
      </fill>
    </dxf>
    <dxf>
      <fill>
        <patternFill patternType="solid">
          <fgColor rgb="FFFAF1D3"/>
          <bgColor rgb="FF000000"/>
        </patternFill>
      </fill>
    </dxf>
    <dxf>
      <fill>
        <patternFill patternType="solid">
          <fgColor rgb="FFFCE4E0"/>
          <bgColor rgb="FF000000"/>
        </patternFill>
      </fill>
    </dxf>
    <dxf>
      <fill>
        <patternFill patternType="solid">
          <fgColor rgb="FFFCE7DB"/>
          <bgColor rgb="FF000000"/>
        </patternFill>
      </fill>
    </dxf>
    <dxf>
      <fill>
        <patternFill patternType="solid">
          <fgColor rgb="FFFCE7DC"/>
          <bgColor rgb="FF000000"/>
        </patternFill>
      </fill>
    </dxf>
    <dxf>
      <fill>
        <patternFill patternType="solid">
          <fgColor rgb="FFFCE8DA"/>
          <bgColor rgb="FF000000"/>
        </patternFill>
      </fill>
    </dxf>
    <dxf>
      <fill>
        <patternFill patternType="solid">
          <fgColor rgb="FFFDE8DA"/>
          <bgColor rgb="FF000000"/>
        </patternFill>
      </fill>
    </dxf>
    <dxf>
      <fill>
        <patternFill patternType="solid">
          <fgColor rgb="FFFDE9D8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FDEAD8"/>
          <bgColor rgb="FF000000"/>
        </patternFill>
      </fill>
    </dxf>
    <dxf>
      <fill>
        <patternFill patternType="solid">
          <fgColor rgb="FFFDEBD5"/>
          <bgColor rgb="FF000000"/>
        </patternFill>
      </fill>
    </dxf>
    <dxf>
      <fill>
        <patternFill patternType="solid">
          <fgColor rgb="FFFDEBD6"/>
          <bgColor rgb="FF000000"/>
        </patternFill>
      </fill>
    </dxf>
    <dxf>
      <fill>
        <patternFill patternType="solid">
          <fgColor rgb="FFFDECD4"/>
          <bgColor rgb="FF000000"/>
        </patternFill>
      </fill>
    </dxf>
    <dxf>
      <fill>
        <patternFill patternType="solid">
          <fgColor rgb="FFFDECD5"/>
          <bgColor rgb="FF000000"/>
        </patternFill>
      </fill>
    </dxf>
    <dxf>
      <fill>
        <patternFill patternType="solid">
          <fgColor rgb="FFFDF2CF"/>
          <bgColor rgb="FF000000"/>
        </patternFill>
      </fill>
    </dxf>
    <dxf>
      <fill>
        <patternFill patternType="solid">
          <fgColor rgb="FFFEEDD3"/>
          <bgColor rgb="FF000000"/>
        </patternFill>
      </fill>
    </dxf>
    <dxf>
      <fill>
        <patternFill patternType="solid">
          <fgColor rgb="FFFEEED1"/>
          <bgColor rgb="FF000000"/>
        </patternFill>
      </fill>
    </dxf>
    <dxf>
      <fill>
        <patternFill patternType="solid">
          <fgColor rgb="FFFEEED2"/>
          <bgColor rgb="FF000000"/>
        </patternFill>
      </fill>
    </dxf>
    <dxf>
      <fill>
        <patternFill patternType="solid">
          <fgColor rgb="FFFEEFD0"/>
          <bgColor rgb="FF000000"/>
        </patternFill>
      </fill>
    </dxf>
    <dxf>
      <fill>
        <patternFill patternType="solid">
          <fgColor rgb="FFFEEFD1"/>
          <bgColor rgb="FF000000"/>
        </patternFill>
      </fill>
    </dxf>
    <dxf>
      <fill>
        <patternFill patternType="solid">
          <fgColor rgb="FFFEF0CE"/>
          <bgColor rgb="FF000000"/>
        </patternFill>
      </fill>
    </dxf>
    <dxf>
      <fill>
        <patternFill patternType="solid">
          <fgColor rgb="FFFEF0CF"/>
          <bgColor rgb="FF000000"/>
        </patternFill>
      </fill>
    </dxf>
    <dxf>
      <fill>
        <patternFill patternType="solid">
          <fgColor rgb="FFFEF1CD"/>
          <bgColor rgb="FF000000"/>
        </patternFill>
      </fill>
    </dxf>
    <dxf>
      <fill>
        <patternFill patternType="solid">
          <fgColor rgb="FFFEF1C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FEAEC"/>
          <bgColor rgb="FF000000"/>
        </patternFill>
      </fill>
    </dxf>
    <dxf>
      <fill>
        <patternFill patternType="solid">
          <fgColor rgb="FFF6E3DE"/>
          <bgColor rgb="FF000000"/>
        </patternFill>
      </fill>
    </dxf>
    <dxf>
      <fill>
        <patternFill>
          <bgColor rgb="FFF6E3DE"/>
        </patternFill>
      </fill>
    </dxf>
    <dxf>
      <fill>
        <patternFill>
          <bgColor rgb="FFDFEA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9E6"/>
      <rgbColor rgb="FFDFEA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C"/>
      <rgbColor rgb="FFCCFFCC"/>
      <rgbColor rgb="FFF6E3DE"/>
      <rgbColor rgb="FFA6B4C4"/>
      <rgbColor rgb="FFFF99CC"/>
      <rgbColor rgb="FFCC99FF"/>
      <rgbColor rgb="FFDCD8D0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2212E"/>
      <rgbColor rgb="FF333300"/>
      <rgbColor rgb="FF9B3F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Market value vs model-implied value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'1. Executive Decision'!E16</c:f>
              <c:strCache>
                <c:ptCount val="1"/>
                <c:pt idx="0">
                  <c:v>Market value (EUR)</c:v>
                </c:pt>
              </c:strCache>
            </c:strRef>
          </c:tx>
          <c:spPr>
            <a:solidFill>
              <a:srgbClr val="a6b4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Executive Decision'!$A$17:$A$19</c:f>
              <c:strCache>
                <c:ptCount val="3"/>
                <c:pt idx="0">
                  <c:v>Lucas Stassin</c:v>
                </c:pt>
                <c:pt idx="1">
                  <c:v>Diego Coppola</c:v>
                </c:pt>
                <c:pt idx="2">
                  <c:v>Facundo Buonanotte</c:v>
                </c:pt>
              </c:strCache>
            </c:strRef>
          </c:cat>
          <c:val>
            <c:numRef>
              <c:f>'1. Executive Decision'!$E$17:$E$19</c:f>
              <c:numCache>
                <c:formatCode>"EUR "#,##0</c:formatCode>
                <c:ptCount val="3"/>
                <c:pt idx="0">
                  <c:v>18000000</c:v>
                </c:pt>
                <c:pt idx="1">
                  <c:v>10000000</c:v>
                </c:pt>
                <c:pt idx="2">
                  <c:v>20000000</c:v>
                </c:pt>
              </c:numCache>
            </c:numRef>
          </c:val>
        </c:ser>
        <c:ser>
          <c:idx val="1"/>
          <c:order val="1"/>
          <c:tx>
            <c:strRef>
              <c:f>'1. Executive Decision'!F16</c:f>
              <c:strCache>
                <c:ptCount val="1"/>
                <c:pt idx="0">
                  <c:v>Model-implied (EUR)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Executive Decision'!$A$17:$A$19</c:f>
              <c:strCache>
                <c:ptCount val="3"/>
                <c:pt idx="0">
                  <c:v>Lucas Stassin</c:v>
                </c:pt>
                <c:pt idx="1">
                  <c:v>Diego Coppola</c:v>
                </c:pt>
                <c:pt idx="2">
                  <c:v>Facundo Buonanotte</c:v>
                </c:pt>
              </c:strCache>
            </c:strRef>
          </c:cat>
          <c:val>
            <c:numRef>
              <c:f>'1. Executive Decision'!$F$17:$F$19</c:f>
              <c:numCache>
                <c:formatCode>"EUR "#,##0</c:formatCode>
                <c:ptCount val="3"/>
                <c:pt idx="0">
                  <c:v>31076444.6261984</c:v>
                </c:pt>
                <c:pt idx="1">
                  <c:v>27139272.5638567</c:v>
                </c:pt>
                <c:pt idx="2">
                  <c:v>20297220.3731356</c:v>
                </c:pt>
              </c:numCache>
            </c:numRef>
          </c:val>
        </c:ser>
        <c:gapWidth val="150"/>
        <c:overlap val="0"/>
        <c:axId val="61493598"/>
        <c:axId val="25250057"/>
      </c:barChart>
      <c:catAx>
        <c:axId val="614935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50057"/>
        <c:crosses val="autoZero"/>
        <c:auto val="1"/>
        <c:lblAlgn val="ctr"/>
        <c:lblOffset val="100"/>
        <c:noMultiLvlLbl val="0"/>
      </c:catAx>
      <c:valAx>
        <c:axId val="252500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EUR &quot;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935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Predicted exit risk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'1. Executive Decision'!H16</c:f>
              <c:strCache>
                <c:ptCount val="1"/>
                <c:pt idx="0">
                  <c:v>Exit risk</c:v>
                </c:pt>
              </c:strCache>
            </c:strRef>
          </c:tx>
          <c:spPr>
            <a:solidFill>
              <a:srgbClr val="9b3f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Executive Decision'!$A$17:$A$19</c:f>
              <c:strCache>
                <c:ptCount val="3"/>
                <c:pt idx="0">
                  <c:v>Lucas Stassin</c:v>
                </c:pt>
                <c:pt idx="1">
                  <c:v>Diego Coppola</c:v>
                </c:pt>
                <c:pt idx="2">
                  <c:v>Facundo Buonanotte</c:v>
                </c:pt>
              </c:strCache>
            </c:strRef>
          </c:cat>
          <c:val>
            <c:numRef>
              <c:f>'1. Executive Decision'!$H$17:$H$19</c:f>
              <c:numCache>
                <c:formatCode>0%</c:formatCode>
                <c:ptCount val="3"/>
                <c:pt idx="0">
                  <c:v>0.135324206619698</c:v>
                </c:pt>
                <c:pt idx="1">
                  <c:v>0.129182287705224</c:v>
                </c:pt>
                <c:pt idx="2">
                  <c:v>0.248609087853081</c:v>
                </c:pt>
              </c:numCache>
            </c:numRef>
          </c:val>
        </c:ser>
        <c:gapWidth val="150"/>
        <c:overlap val="0"/>
        <c:axId val="75831076"/>
        <c:axId val="72180049"/>
      </c:barChart>
      <c:catAx>
        <c:axId val="758310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80049"/>
        <c:crosses val="autoZero"/>
        <c:auto val="1"/>
        <c:lblAlgn val="ctr"/>
        <c:lblOffset val="100"/>
        <c:noMultiLvlLbl val="0"/>
      </c:catAx>
      <c:valAx>
        <c:axId val="721800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310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Quality percentile, top of shortlist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'2. Player Shortlist'!I4</c:f>
              <c:strCache>
                <c:ptCount val="1"/>
                <c:pt idx="0">
                  <c:v>Quality pctl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Player Shortlist'!$B$5:$B$25</c:f>
              <c:strCache>
                <c:ptCount val="21"/>
                <c:pt idx="0">
                  <c:v>Attack</c:v>
                </c:pt>
                <c:pt idx="1">
                  <c:v>Defender</c:v>
                </c:pt>
                <c:pt idx="2">
                  <c:v>Attack</c:v>
                </c:pt>
                <c:pt idx="3">
                  <c:v>Midfield</c:v>
                </c:pt>
                <c:pt idx="4">
                  <c:v>Midfield</c:v>
                </c:pt>
                <c:pt idx="5">
                  <c:v>Attack</c:v>
                </c:pt>
                <c:pt idx="6">
                  <c:v>Defender</c:v>
                </c:pt>
                <c:pt idx="7">
                  <c:v>Midfield</c:v>
                </c:pt>
                <c:pt idx="8">
                  <c:v>Attack</c:v>
                </c:pt>
                <c:pt idx="9">
                  <c:v>Attack</c:v>
                </c:pt>
                <c:pt idx="10">
                  <c:v>Attack</c:v>
                </c:pt>
                <c:pt idx="11">
                  <c:v>Midfield</c:v>
                </c:pt>
                <c:pt idx="12">
                  <c:v>Defender</c:v>
                </c:pt>
                <c:pt idx="13">
                  <c:v>Midfield</c:v>
                </c:pt>
                <c:pt idx="14">
                  <c:v>Midfield</c:v>
                </c:pt>
                <c:pt idx="15">
                  <c:v>Defender</c:v>
                </c:pt>
                <c:pt idx="16">
                  <c:v>Midfield</c:v>
                </c:pt>
                <c:pt idx="17">
                  <c:v>Defender</c:v>
                </c:pt>
                <c:pt idx="18">
                  <c:v>Midfield</c:v>
                </c:pt>
                <c:pt idx="19">
                  <c:v>Defender</c:v>
                </c:pt>
                <c:pt idx="20">
                  <c:v>Midfield</c:v>
                </c:pt>
              </c:strCache>
            </c:strRef>
          </c:cat>
          <c:val>
            <c:numRef>
              <c:f>'2. Player Shortlist'!$I$5:$I$25</c:f>
              <c:numCache>
                <c:formatCode>General</c:formatCode>
                <c:ptCount val="21"/>
                <c:pt idx="0">
                  <c:v>90</c:v>
                </c:pt>
                <c:pt idx="1">
                  <c:v>89</c:v>
                </c:pt>
                <c:pt idx="2">
                  <c:v>83</c:v>
                </c:pt>
                <c:pt idx="3">
                  <c:v>96</c:v>
                </c:pt>
                <c:pt idx="4">
                  <c:v>99</c:v>
                </c:pt>
                <c:pt idx="5">
                  <c:v>97</c:v>
                </c:pt>
                <c:pt idx="6">
                  <c:v>100</c:v>
                </c:pt>
                <c:pt idx="7">
                  <c:v>98</c:v>
                </c:pt>
                <c:pt idx="8">
                  <c:v>92</c:v>
                </c:pt>
                <c:pt idx="9">
                  <c:v>97</c:v>
                </c:pt>
                <c:pt idx="10">
                  <c:v>88</c:v>
                </c:pt>
                <c:pt idx="11">
                  <c:v>86</c:v>
                </c:pt>
                <c:pt idx="12">
                  <c:v>97</c:v>
                </c:pt>
                <c:pt idx="13">
                  <c:v>83</c:v>
                </c:pt>
                <c:pt idx="14">
                  <c:v>93</c:v>
                </c:pt>
                <c:pt idx="15">
                  <c:v>84</c:v>
                </c:pt>
                <c:pt idx="16">
                  <c:v>90</c:v>
                </c:pt>
                <c:pt idx="17">
                  <c:v>99</c:v>
                </c:pt>
                <c:pt idx="18">
                  <c:v>99</c:v>
                </c:pt>
                <c:pt idx="19">
                  <c:v>96</c:v>
                </c:pt>
                <c:pt idx="20">
                  <c:v>93</c:v>
                </c:pt>
              </c:numCache>
            </c:numRef>
          </c:val>
        </c:ser>
        <c:gapWidth val="150"/>
        <c:overlap val="0"/>
        <c:axId val="7577841"/>
        <c:axId val="27464399"/>
      </c:barChart>
      <c:catAx>
        <c:axId val="75778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64399"/>
        <c:crosses val="autoZero"/>
        <c:auto val="1"/>
        <c:lblAlgn val="ctr"/>
        <c:lblOffset val="100"/>
        <c:noMultiLvlLbl val="0"/>
      </c:catAx>
      <c:valAx>
        <c:axId val="274643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78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Committed spend plateaus as constraints bind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'3. Portfolio Optimizer'!B5</c:f>
              <c:strCache>
                <c:ptCount val="1"/>
                <c:pt idx="0">
                  <c:v>Committed (EUR m)</c:v>
                </c:pt>
              </c:strCache>
            </c:strRef>
          </c:tx>
          <c:spPr>
            <a:solidFill>
              <a:srgbClr val="2e75b6"/>
            </a:solidFill>
            <a:ln w="29880">
              <a:solidFill>
                <a:srgbClr val="2e75b6"/>
              </a:solidFill>
              <a:round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Portfolio Optimizer'!$A$6:$A$10</c:f>
              <c:strCache>
                <c:ptCount val="5"/>
                <c:pt idx="0">
                  <c:v>20.0</c:v>
                </c:pt>
                <c:pt idx="1">
                  <c:v>35.0</c:v>
                </c:pt>
                <c:pt idx="2">
                  <c:v>50.0</c:v>
                </c:pt>
                <c:pt idx="3">
                  <c:v>75.0</c:v>
                </c:pt>
                <c:pt idx="4">
                  <c:v>100.0</c:v>
                </c:pt>
              </c:strCache>
            </c:strRef>
          </c:cat>
          <c:val>
            <c:numRef>
              <c:f>'3. Portfolio Optimizer'!$B$6:$B$10</c:f>
              <c:numCache>
                <c:formatCode>#,##0.0</c:formatCode>
                <c:ptCount val="5"/>
                <c:pt idx="0">
                  <c:v>20</c:v>
                </c:pt>
                <c:pt idx="1">
                  <c:v>34</c:v>
                </c:pt>
                <c:pt idx="2">
                  <c:v>48</c:v>
                </c:pt>
                <c:pt idx="3">
                  <c:v>52</c:v>
                </c:pt>
                <c:pt idx="4">
                  <c:v>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6022254"/>
        <c:axId val="92508088"/>
      </c:lineChart>
      <c:catAx>
        <c:axId val="36022254"/>
        <c:scaling>
          <c:orientation val="minMax"/>
        </c:scaling>
        <c:delete val="0"/>
        <c:axPos val="b"/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508088"/>
        <c:crosses val="autoZero"/>
        <c:auto val="1"/>
        <c:lblAlgn val="ctr"/>
        <c:lblOffset val="100"/>
        <c:noMultiLvlLbl val="0"/>
      </c:catAx>
      <c:valAx>
        <c:axId val="925080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222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Selection stability across weightings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'5. Sensitivity'!C15</c:f>
              <c:strCache>
                <c:ptCount val="1"/>
                <c:pt idx="0">
                  <c:v>Share of scenarios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Sensitivity'!$A$16:$A$21</c:f>
              <c:strCache>
                <c:ptCount val="6"/>
                <c:pt idx="0">
                  <c:v>Lucas Stassin</c:v>
                </c:pt>
                <c:pt idx="1">
                  <c:v>Diego Coppola</c:v>
                </c:pt>
                <c:pt idx="2">
                  <c:v>Facundo Buonanotte</c:v>
                </c:pt>
                <c:pt idx="3">
                  <c:v>Paul Nebel</c:v>
                </c:pt>
                <c:pt idx="4">
                  <c:v>Jackson Tchatchoua</c:v>
                </c:pt>
                <c:pt idx="5">
                  <c:v>Yacine Adli</c:v>
                </c:pt>
              </c:strCache>
            </c:strRef>
          </c:cat>
          <c:val>
            <c:numRef>
              <c:f>'5. Sensitivity'!$C$16:$C$21</c:f>
              <c:numCache>
                <c:formatCode>0%</c:formatCode>
                <c:ptCount val="6"/>
                <c:pt idx="0">
                  <c:v>1</c:v>
                </c:pt>
                <c:pt idx="1">
                  <c:v>0.666666666666667</c:v>
                </c:pt>
                <c:pt idx="2">
                  <c:v>0.5</c:v>
                </c:pt>
                <c:pt idx="3">
                  <c:v>0.333333333333333</c:v>
                </c:pt>
                <c:pt idx="4">
                  <c:v>0.333333333333333</c:v>
                </c:pt>
                <c:pt idx="5">
                  <c:v>0.166666666666667</c:v>
                </c:pt>
              </c:numCache>
            </c:numRef>
          </c:val>
        </c:ser>
        <c:gapWidth val="150"/>
        <c:overlap val="0"/>
        <c:axId val="24161723"/>
        <c:axId val="35583984"/>
      </c:barChart>
      <c:catAx>
        <c:axId val="241617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83984"/>
        <c:crosses val="autoZero"/>
        <c:auto val="1"/>
        <c:lblAlgn val="ctr"/>
        <c:lblOffset val="100"/>
        <c:noMultiLvlLbl val="0"/>
      </c:catAx>
      <c:valAx>
        <c:axId val="355839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617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16</xdr:col>
      <xdr:colOff>421560</xdr:colOff>
      <xdr:row>15</xdr:row>
      <xdr:rowOff>347760</xdr:rowOff>
    </xdr:to>
    <xdr:graphicFrame>
      <xdr:nvGraphicFramePr>
        <xdr:cNvPr id="0" name="Chart 1"/>
        <xdr:cNvGraphicFramePr/>
      </xdr:nvGraphicFramePr>
      <xdr:xfrm>
        <a:off x="9790560" y="6094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19</xdr:row>
      <xdr:rowOff>0</xdr:rowOff>
    </xdr:from>
    <xdr:to>
      <xdr:col>16</xdr:col>
      <xdr:colOff>421560</xdr:colOff>
      <xdr:row>30</xdr:row>
      <xdr:rowOff>159120</xdr:rowOff>
    </xdr:to>
    <xdr:graphicFrame>
      <xdr:nvGraphicFramePr>
        <xdr:cNvPr id="1" name="Chart 2"/>
        <xdr:cNvGraphicFramePr/>
      </xdr:nvGraphicFramePr>
      <xdr:xfrm>
        <a:off x="9790560" y="3705120"/>
        <a:ext cx="467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158</xdr:row>
      <xdr:rowOff>0</xdr:rowOff>
    </xdr:from>
    <xdr:to>
      <xdr:col>5</xdr:col>
      <xdr:colOff>840960</xdr:colOff>
      <xdr:row>172</xdr:row>
      <xdr:rowOff>165960</xdr:rowOff>
    </xdr:to>
    <xdr:graphicFrame>
      <xdr:nvGraphicFramePr>
        <xdr:cNvPr id="2" name="Chart 1"/>
        <xdr:cNvGraphicFramePr/>
      </xdr:nvGraphicFramePr>
      <xdr:xfrm>
        <a:off x="0" y="2886084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7</xdr:col>
      <xdr:colOff>343440</xdr:colOff>
      <xdr:row>15</xdr:row>
      <xdr:rowOff>138240</xdr:rowOff>
    </xdr:to>
    <xdr:graphicFrame>
      <xdr:nvGraphicFramePr>
        <xdr:cNvPr id="3" name="Chart 1"/>
        <xdr:cNvGraphicFramePr/>
      </xdr:nvGraphicFramePr>
      <xdr:xfrm>
        <a:off x="7189560" y="6094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12</xdr:col>
      <xdr:colOff>42840</xdr:colOff>
      <xdr:row>12</xdr:row>
      <xdr:rowOff>150840</xdr:rowOff>
    </xdr:to>
    <xdr:graphicFrame>
      <xdr:nvGraphicFramePr>
        <xdr:cNvPr id="4" name="Chart 1"/>
        <xdr:cNvGraphicFramePr/>
      </xdr:nvGraphicFramePr>
      <xdr:xfrm>
        <a:off x="8881200" y="609480"/>
        <a:ext cx="467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.27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6" min="5" style="0" width="18"/>
    <col collapsed="false" customWidth="true" hidden="false" outlineLevel="0" max="7" min="7" style="0" width="12"/>
    <col collapsed="false" customWidth="true" hidden="false" outlineLevel="0" max="8" min="8" style="0" width="11"/>
  </cols>
  <sheetData>
    <row r="1" customFormat="false" ht="19.5" hidden="false" customHeight="tru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4" customFormat="false" ht="14.25" hidden="false" customHeight="false" outlineLevel="0" collapsed="false">
      <c r="A4" s="3" t="s">
        <v>2</v>
      </c>
    </row>
    <row r="5" customFormat="false" ht="14.25" hidden="false" customHeight="false" outlineLevel="0" collapsed="false">
      <c r="A5" s="2" t="s">
        <v>3</v>
      </c>
    </row>
    <row r="6" customFormat="false" ht="14.25" hidden="false" customHeight="false" outlineLevel="0" collapsed="false">
      <c r="A6" s="4" t="s">
        <v>4</v>
      </c>
      <c r="B6" s="5" t="n">
        <v>50000000</v>
      </c>
      <c r="D6" s="4" t="s">
        <v>5</v>
      </c>
      <c r="F6" s="6" t="n">
        <f aca="false">IF($B$10="Conservative",0.25,IF($B$10="Open",0.6,0.4))</f>
        <v>0.4</v>
      </c>
    </row>
    <row r="7" customFormat="false" ht="14.25" hidden="false" customHeight="false" outlineLevel="0" collapsed="false">
      <c r="A7" s="4" t="s">
        <v>6</v>
      </c>
      <c r="B7" s="7" t="n">
        <v>1</v>
      </c>
    </row>
    <row r="8" customFormat="false" ht="14.25" hidden="false" customHeight="false" outlineLevel="0" collapsed="false">
      <c r="A8" s="4" t="s">
        <v>7</v>
      </c>
      <c r="B8" s="7" t="n">
        <v>1</v>
      </c>
    </row>
    <row r="9" customFormat="false" ht="14.25" hidden="false" customHeight="false" outlineLevel="0" collapsed="false">
      <c r="A9" s="4" t="s">
        <v>8</v>
      </c>
      <c r="B9" s="7" t="n">
        <v>1</v>
      </c>
    </row>
    <row r="10" customFormat="false" ht="14.25" hidden="false" customHeight="false" outlineLevel="0" collapsed="false">
      <c r="A10" s="4" t="s">
        <v>9</v>
      </c>
      <c r="B10" s="7" t="s">
        <v>10</v>
      </c>
    </row>
    <row r="13" customFormat="false" ht="14.25" hidden="false" customHeight="false" outlineLevel="0" collapsed="false">
      <c r="A13" s="3" t="s">
        <v>11</v>
      </c>
    </row>
    <row r="14" customFormat="false" ht="14.25" hidden="false" customHeight="false" outlineLevel="0" collapsed="false">
      <c r="A14" s="2" t="s">
        <v>12</v>
      </c>
    </row>
    <row r="16" customFormat="false" ht="30" hidden="false" customHeight="true" outlineLevel="0" collapsed="false">
      <c r="A16" s="8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</row>
    <row r="17" customFormat="false" ht="14.25" hidden="false" customHeight="false" outlineLevel="0" collapsed="false">
      <c r="A17" s="9" t="s">
        <v>21</v>
      </c>
      <c r="B17" s="9" t="s">
        <v>22</v>
      </c>
      <c r="C17" s="9" t="s">
        <v>23</v>
      </c>
      <c r="D17" s="9" t="n">
        <v>20.1</v>
      </c>
      <c r="E17" s="10" t="n">
        <v>18000000</v>
      </c>
      <c r="F17" s="10" t="n">
        <v>31076444.6261984</v>
      </c>
      <c r="G17" s="9" t="n">
        <v>90</v>
      </c>
      <c r="H17" s="11" t="n">
        <v>0.135324206619698</v>
      </c>
    </row>
    <row r="18" customFormat="false" ht="14.25" hidden="false" customHeight="false" outlineLevel="0" collapsed="false">
      <c r="A18" s="9" t="s">
        <v>24</v>
      </c>
      <c r="B18" s="9" t="s">
        <v>25</v>
      </c>
      <c r="C18" s="9" t="s">
        <v>26</v>
      </c>
      <c r="D18" s="9" t="n">
        <v>21</v>
      </c>
      <c r="E18" s="10" t="n">
        <v>10000000</v>
      </c>
      <c r="F18" s="10" t="n">
        <v>27139272.5638567</v>
      </c>
      <c r="G18" s="9" t="n">
        <v>89</v>
      </c>
      <c r="H18" s="11" t="n">
        <v>0.129182287705224</v>
      </c>
    </row>
    <row r="19" customFormat="false" ht="14.25" hidden="false" customHeight="false" outlineLevel="0" collapsed="false">
      <c r="A19" s="9" t="s">
        <v>27</v>
      </c>
      <c r="B19" s="9" t="s">
        <v>28</v>
      </c>
      <c r="C19" s="9" t="s">
        <v>29</v>
      </c>
      <c r="D19" s="9" t="n">
        <v>20</v>
      </c>
      <c r="E19" s="10" t="n">
        <v>20000000</v>
      </c>
      <c r="F19" s="10" t="n">
        <v>20297220.3731356</v>
      </c>
      <c r="G19" s="9" t="n">
        <v>86</v>
      </c>
      <c r="H19" s="11" t="n">
        <v>0.248609087853081</v>
      </c>
    </row>
    <row r="20" customFormat="false" ht="14.25" hidden="false" customHeight="false" outlineLevel="0" collapsed="false">
      <c r="D20" s="3" t="s">
        <v>30</v>
      </c>
      <c r="E20" s="12" t="n">
        <f aca="false">SUM(E17:E19)</f>
        <v>48000000</v>
      </c>
    </row>
    <row r="22" customFormat="false" ht="14.25" hidden="false" customHeight="false" outlineLevel="0" collapsed="false">
      <c r="A22" s="3" t="s">
        <v>31</v>
      </c>
    </row>
    <row r="23" customFormat="false" ht="14.25" hidden="false" customHeight="false" outlineLevel="0" collapsed="false">
      <c r="A23" s="4" t="s">
        <v>32</v>
      </c>
      <c r="B23" s="13" t="n">
        <f aca="false">E20</f>
        <v>48000000</v>
      </c>
    </row>
    <row r="24" customFormat="false" ht="14.25" hidden="false" customHeight="false" outlineLevel="0" collapsed="false">
      <c r="A24" s="4" t="s">
        <v>33</v>
      </c>
      <c r="B24" s="13" t="n">
        <f aca="false">$B$6-E20</f>
        <v>2000000</v>
      </c>
    </row>
    <row r="25" customFormat="false" ht="14.25" hidden="false" customHeight="false" outlineLevel="0" collapsed="false">
      <c r="A25" s="4" t="s">
        <v>34</v>
      </c>
      <c r="B25" s="14" t="n">
        <f aca="false">AVERAGE(G17:G19)</f>
        <v>88.3333333333333</v>
      </c>
    </row>
    <row r="26" customFormat="false" ht="14.25" hidden="false" customHeight="false" outlineLevel="0" collapsed="false">
      <c r="A26" s="4" t="s">
        <v>35</v>
      </c>
      <c r="B26" s="15" t="n">
        <f aca="false">AVERAGE(H17:H19)</f>
        <v>0.171038527392668</v>
      </c>
    </row>
    <row r="27" customFormat="false" ht="14.25" hidden="false" customHeight="false" outlineLevel="0" collapsed="false">
      <c r="A27" s="4" t="s">
        <v>36</v>
      </c>
      <c r="B27" s="15" t="n">
        <f aca="false">E20/$B$6</f>
        <v>0.96</v>
      </c>
    </row>
    <row r="29" customFormat="false" ht="14.25" hidden="false" customHeight="false" outlineLevel="0" collapsed="false">
      <c r="A29" s="3" t="s">
        <v>37</v>
      </c>
    </row>
    <row r="30" customFormat="false" ht="15" hidden="false" customHeight="true" outlineLevel="0" collapsed="false">
      <c r="A30" s="16" t="s">
        <v>38</v>
      </c>
      <c r="B30" s="16"/>
      <c r="C30" s="16"/>
      <c r="D30" s="16"/>
      <c r="E30" s="16"/>
      <c r="F30" s="16"/>
      <c r="G30" s="16"/>
      <c r="H30" s="16"/>
    </row>
    <row r="31" customFormat="false" ht="14.25" hidden="false" customHeight="false" outlineLevel="0" collapsed="false">
      <c r="A31" s="16"/>
      <c r="B31" s="16"/>
      <c r="C31" s="16"/>
      <c r="D31" s="16"/>
      <c r="E31" s="16"/>
      <c r="F31" s="16"/>
      <c r="G31" s="16"/>
      <c r="H31" s="16"/>
    </row>
    <row r="32" customFormat="false" ht="14.25" hidden="false" customHeight="false" outlineLevel="0" collapsed="false">
      <c r="A32" s="16"/>
      <c r="B32" s="16"/>
      <c r="C32" s="16"/>
      <c r="D32" s="16"/>
      <c r="E32" s="16"/>
      <c r="F32" s="16"/>
      <c r="G32" s="16"/>
      <c r="H32" s="16"/>
    </row>
  </sheetData>
  <mergeCells count="1">
    <mergeCell ref="A30:H32"/>
  </mergeCells>
  <conditionalFormatting sqref="G17:G19">
    <cfRule type="colorScale" priority="2">
      <colorScale>
        <cfvo type="num" val="40"/>
        <cfvo type="num" val="100"/>
        <color rgb="FFFCE4E0"/>
        <color rgb="FFDEEAF6"/>
      </colorScale>
    </cfRule>
  </conditionalFormatting>
  <conditionalFormatting sqref="H17:H19">
    <cfRule type="dataBar" priority="3">
      <dataBar showValue="1" minLength="10" maxLength="90">
        <cfvo type="num" val="0"/>
        <cfvo type="num" val="0.6"/>
        <color rgb="FF9B3F2E"/>
      </dataBar>
      <extLst>
        <ext xmlns:x14="http://schemas.microsoft.com/office/spreadsheetml/2009/9/main" uri="{B025F937-C7B1-47D3-B67F-A62EFF666E3E}">
          <x14:id>{D45632A4-318D-471F-93AD-786580F282AE}</x14:id>
        </ext>
      </extLst>
    </cfRule>
  </conditionalFormatting>
  <dataValidations count="1">
    <dataValidation allowBlank="false" errorStyle="stop" operator="between" showDropDown="false" showErrorMessage="false" showInputMessage="false" sqref="B10" type="list">
      <formula1>"Conservative,Balanced,Open"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5632A4-318D-471F-93AD-786580F282AE}">
            <x14:dataBar minLength="10" maxLength="90" axisPosition="none" gradient="true">
              <x14:cfvo type="num">
                <xm:f>0</xm:f>
              </x14:cfvo>
              <x14:cfvo type="num">
                <xm:f>0.6</xm:f>
              </x14:cfvo>
              <x14:negativeFillColor rgb="FF9B3F2E"/>
              <x14:axisColor rgb="FF000000"/>
            </x14:dataBar>
          </x14:cfRule>
          <xm:sqref>H17:H19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4" min="3" style="0" width="20"/>
    <col collapsed="false" customWidth="true" hidden="false" outlineLevel="0" max="5" min="5" style="0" width="7"/>
    <col collapsed="false" customWidth="true" hidden="false" outlineLevel="0" max="7" min="6" style="0" width="16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42"/>
  </cols>
  <sheetData>
    <row r="1" customFormat="false" ht="19.5" hidden="false" customHeight="true" outlineLevel="0" collapsed="false">
      <c r="A1" s="1" t="s">
        <v>39</v>
      </c>
    </row>
    <row r="2" customFormat="false" ht="14.25" hidden="false" customHeight="false" outlineLevel="0" collapsed="false">
      <c r="A2" s="2" t="s">
        <v>40</v>
      </c>
    </row>
    <row r="4" customFormat="false" ht="30" hidden="false" customHeight="true" outlineLevel="0" collapsed="false">
      <c r="A4" s="8" t="s">
        <v>13</v>
      </c>
      <c r="B4" s="8" t="s">
        <v>14</v>
      </c>
      <c r="C4" s="8" t="s">
        <v>15</v>
      </c>
      <c r="D4" s="8" t="s">
        <v>41</v>
      </c>
      <c r="E4" s="8" t="s">
        <v>16</v>
      </c>
      <c r="F4" s="8" t="s">
        <v>17</v>
      </c>
      <c r="G4" s="8" t="s">
        <v>18</v>
      </c>
      <c r="H4" s="8" t="s">
        <v>42</v>
      </c>
      <c r="I4" s="8" t="s">
        <v>19</v>
      </c>
      <c r="J4" s="8" t="s">
        <v>43</v>
      </c>
      <c r="K4" s="8" t="s">
        <v>44</v>
      </c>
      <c r="L4" s="8" t="s">
        <v>20</v>
      </c>
      <c r="M4" s="8" t="s">
        <v>45</v>
      </c>
      <c r="N4" s="8" t="s">
        <v>46</v>
      </c>
    </row>
    <row r="5" customFormat="false" ht="14.25" hidden="false" customHeight="false" outlineLevel="0" collapsed="false">
      <c r="A5" s="4" t="s">
        <v>21</v>
      </c>
      <c r="B5" s="4" t="s">
        <v>22</v>
      </c>
      <c r="C5" s="4" t="s">
        <v>23</v>
      </c>
      <c r="D5" s="4" t="s">
        <v>47</v>
      </c>
      <c r="E5" s="4" t="n">
        <v>20.1</v>
      </c>
      <c r="F5" s="17" t="n">
        <v>18000000</v>
      </c>
      <c r="G5" s="17" t="n">
        <v>31076445</v>
      </c>
      <c r="H5" s="18" t="n">
        <v>72.6</v>
      </c>
      <c r="I5" s="4" t="n">
        <v>90</v>
      </c>
      <c r="J5" s="4" t="n">
        <v>0.76</v>
      </c>
      <c r="K5" s="4" t="n">
        <v>0.82</v>
      </c>
      <c r="L5" s="19" t="n">
        <v>0.135324206619698</v>
      </c>
      <c r="M5" s="4" t="n">
        <v>0.07</v>
      </c>
      <c r="N5" s="4" t="s">
        <v>48</v>
      </c>
    </row>
    <row r="6" customFormat="false" ht="14.25" hidden="false" customHeight="false" outlineLevel="0" collapsed="false">
      <c r="A6" s="4" t="s">
        <v>24</v>
      </c>
      <c r="B6" s="4" t="s">
        <v>25</v>
      </c>
      <c r="C6" s="4" t="s">
        <v>26</v>
      </c>
      <c r="D6" s="4" t="s">
        <v>49</v>
      </c>
      <c r="E6" s="4" t="n">
        <v>21</v>
      </c>
      <c r="F6" s="17" t="n">
        <v>10000000</v>
      </c>
      <c r="G6" s="17" t="n">
        <v>27139273</v>
      </c>
      <c r="H6" s="18" t="n">
        <v>171.4</v>
      </c>
      <c r="I6" s="4" t="n">
        <v>89</v>
      </c>
      <c r="J6" s="4" t="n">
        <v>0.69</v>
      </c>
      <c r="K6" s="4" t="n">
        <v>0.93</v>
      </c>
      <c r="L6" s="19" t="n">
        <v>0.129182287705224</v>
      </c>
      <c r="M6" s="4" t="n">
        <v>0.79</v>
      </c>
      <c r="N6" s="4" t="s">
        <v>48</v>
      </c>
    </row>
    <row r="7" customFormat="false" ht="14.25" hidden="false" customHeight="false" outlineLevel="0" collapsed="false">
      <c r="A7" s="4" t="s">
        <v>50</v>
      </c>
      <c r="B7" s="4" t="s">
        <v>22</v>
      </c>
      <c r="C7" s="4" t="s">
        <v>23</v>
      </c>
      <c r="D7" s="4" t="s">
        <v>51</v>
      </c>
      <c r="E7" s="4" t="n">
        <v>22.9</v>
      </c>
      <c r="F7" s="17" t="n">
        <v>22000000</v>
      </c>
      <c r="G7" s="17" t="n">
        <v>49279957</v>
      </c>
      <c r="H7" s="18" t="n">
        <v>124</v>
      </c>
      <c r="I7" s="4" t="n">
        <v>83</v>
      </c>
      <c r="J7" s="4" t="n">
        <v>0.54</v>
      </c>
      <c r="K7" s="4" t="n">
        <v>0.95</v>
      </c>
      <c r="L7" s="19" t="n">
        <v>0.0929601594858481</v>
      </c>
      <c r="M7" s="4" t="n">
        <v>0.07</v>
      </c>
      <c r="N7" s="4" t="s">
        <v>48</v>
      </c>
    </row>
    <row r="8" customFormat="false" ht="14.25" hidden="false" customHeight="false" outlineLevel="0" collapsed="false">
      <c r="A8" s="4" t="s">
        <v>52</v>
      </c>
      <c r="B8" s="4" t="s">
        <v>28</v>
      </c>
      <c r="C8" s="4" t="s">
        <v>53</v>
      </c>
      <c r="D8" s="4" t="s">
        <v>54</v>
      </c>
      <c r="E8" s="4" t="n">
        <v>22.2</v>
      </c>
      <c r="F8" s="17" t="n">
        <v>24000000</v>
      </c>
      <c r="G8" s="17" t="n">
        <v>28865614</v>
      </c>
      <c r="H8" s="18" t="n">
        <v>20.3</v>
      </c>
      <c r="I8" s="4" t="n">
        <v>96</v>
      </c>
      <c r="J8" s="4" t="n">
        <v>0.6</v>
      </c>
      <c r="K8" s="4" t="n">
        <v>0.65</v>
      </c>
      <c r="L8" s="19" t="n">
        <v>0.0750464554360878</v>
      </c>
      <c r="M8" s="4" t="n">
        <v>0.34</v>
      </c>
      <c r="N8" s="4" t="s">
        <v>48</v>
      </c>
    </row>
    <row r="9" customFormat="false" ht="14.25" hidden="false" customHeight="false" outlineLevel="0" collapsed="false">
      <c r="A9" s="4" t="s">
        <v>55</v>
      </c>
      <c r="B9" s="4" t="s">
        <v>28</v>
      </c>
      <c r="C9" s="4" t="s">
        <v>23</v>
      </c>
      <c r="D9" s="4" t="s">
        <v>56</v>
      </c>
      <c r="E9" s="4" t="n">
        <v>21.4</v>
      </c>
      <c r="F9" s="17" t="n">
        <v>45000000</v>
      </c>
      <c r="G9" s="17" t="n">
        <v>47429292</v>
      </c>
      <c r="H9" s="18" t="n">
        <v>5.4</v>
      </c>
      <c r="I9" s="4" t="n">
        <v>99</v>
      </c>
      <c r="J9" s="4" t="n">
        <v>0.66</v>
      </c>
      <c r="K9" s="4" t="n">
        <v>0.58</v>
      </c>
      <c r="L9" s="19" t="n">
        <v>0.0534086320743383</v>
      </c>
      <c r="M9" s="4" t="n">
        <v>0.69</v>
      </c>
      <c r="N9" s="4" t="s">
        <v>48</v>
      </c>
    </row>
    <row r="10" customFormat="false" ht="14.25" hidden="false" customHeight="false" outlineLevel="0" collapsed="false">
      <c r="A10" s="4" t="s">
        <v>57</v>
      </c>
      <c r="B10" s="4" t="s">
        <v>22</v>
      </c>
      <c r="C10" s="4" t="s">
        <v>23</v>
      </c>
      <c r="D10" s="4" t="s">
        <v>58</v>
      </c>
      <c r="E10" s="4" t="n">
        <v>21.9</v>
      </c>
      <c r="F10" s="17" t="n">
        <v>30000000</v>
      </c>
      <c r="G10" s="17" t="n">
        <v>29536599</v>
      </c>
      <c r="H10" s="18" t="n">
        <v>-1.5</v>
      </c>
      <c r="I10" s="4" t="n">
        <v>97</v>
      </c>
      <c r="J10" s="4" t="n">
        <v>0.62</v>
      </c>
      <c r="K10" s="4" t="n">
        <v>0.51</v>
      </c>
      <c r="L10" s="19" t="n">
        <v>0.122288413318166</v>
      </c>
      <c r="M10" s="4" t="n">
        <v>0.07</v>
      </c>
      <c r="N10" s="4" t="s">
        <v>59</v>
      </c>
    </row>
    <row r="11" customFormat="false" ht="14.25" hidden="false" customHeight="false" outlineLevel="0" collapsed="false">
      <c r="A11" s="4" t="s">
        <v>60</v>
      </c>
      <c r="B11" s="4" t="s">
        <v>25</v>
      </c>
      <c r="C11" s="4" t="s">
        <v>29</v>
      </c>
      <c r="D11" s="4" t="s">
        <v>61</v>
      </c>
      <c r="E11" s="4" t="n">
        <v>23.7</v>
      </c>
      <c r="F11" s="17" t="n">
        <v>28000000</v>
      </c>
      <c r="G11" s="17" t="n">
        <v>42916710</v>
      </c>
      <c r="H11" s="18" t="n">
        <v>53.3</v>
      </c>
      <c r="I11" s="4" t="n">
        <v>100</v>
      </c>
      <c r="J11" s="4" t="n">
        <v>0.49</v>
      </c>
      <c r="K11" s="4" t="n">
        <v>0.73</v>
      </c>
      <c r="L11" s="19" t="n">
        <v>0.0614866949697979</v>
      </c>
      <c r="M11" s="4" t="n">
        <v>0.54</v>
      </c>
      <c r="N11" s="4" t="s">
        <v>48</v>
      </c>
    </row>
    <row r="12" customFormat="false" ht="14.25" hidden="false" customHeight="false" outlineLevel="0" collapsed="false">
      <c r="A12" s="4" t="s">
        <v>62</v>
      </c>
      <c r="B12" s="4" t="s">
        <v>28</v>
      </c>
      <c r="C12" s="4" t="s">
        <v>53</v>
      </c>
      <c r="D12" s="4" t="s">
        <v>63</v>
      </c>
      <c r="E12" s="4" t="n">
        <v>21.7</v>
      </c>
      <c r="F12" s="17" t="n">
        <v>70000000</v>
      </c>
      <c r="G12" s="17" t="n">
        <v>59931818</v>
      </c>
      <c r="H12" s="18" t="n">
        <v>-14.4</v>
      </c>
      <c r="I12" s="4" t="n">
        <v>98</v>
      </c>
      <c r="J12" s="4" t="n">
        <v>0.64</v>
      </c>
      <c r="K12" s="4" t="n">
        <v>0.48</v>
      </c>
      <c r="L12" s="19" t="n">
        <v>0.0316471862514329</v>
      </c>
      <c r="M12" s="4" t="n">
        <v>0.34</v>
      </c>
      <c r="N12" s="4" t="s">
        <v>59</v>
      </c>
    </row>
    <row r="13" customFormat="false" ht="14.25" hidden="false" customHeight="false" outlineLevel="0" collapsed="false">
      <c r="A13" s="4" t="s">
        <v>64</v>
      </c>
      <c r="B13" s="4" t="s">
        <v>22</v>
      </c>
      <c r="C13" s="4" t="s">
        <v>23</v>
      </c>
      <c r="D13" s="4" t="s">
        <v>65</v>
      </c>
      <c r="E13" s="4" t="n">
        <v>23.3</v>
      </c>
      <c r="F13" s="17" t="n">
        <v>40000000</v>
      </c>
      <c r="G13" s="17" t="n">
        <v>47805984</v>
      </c>
      <c r="H13" s="18" t="n">
        <v>19.5</v>
      </c>
      <c r="I13" s="4" t="n">
        <v>92</v>
      </c>
      <c r="J13" s="4" t="n">
        <v>0.52</v>
      </c>
      <c r="K13" s="4" t="n">
        <v>0.65</v>
      </c>
      <c r="L13" s="19" t="n">
        <v>0.0369574928354717</v>
      </c>
      <c r="M13" s="4" t="n">
        <v>0.07</v>
      </c>
      <c r="N13" s="4" t="s">
        <v>48</v>
      </c>
    </row>
    <row r="14" customFormat="false" ht="14.25" hidden="false" customHeight="false" outlineLevel="0" collapsed="false">
      <c r="A14" s="4" t="s">
        <v>66</v>
      </c>
      <c r="B14" s="4" t="s">
        <v>22</v>
      </c>
      <c r="C14" s="4" t="s">
        <v>23</v>
      </c>
      <c r="D14" s="4" t="s">
        <v>56</v>
      </c>
      <c r="E14" s="4" t="n">
        <v>24.2</v>
      </c>
      <c r="F14" s="17" t="n">
        <v>22000000</v>
      </c>
      <c r="G14" s="17" t="n">
        <v>29278371</v>
      </c>
      <c r="H14" s="18" t="n">
        <v>33.1</v>
      </c>
      <c r="I14" s="4" t="n">
        <v>97</v>
      </c>
      <c r="J14" s="4" t="n">
        <v>0.45</v>
      </c>
      <c r="K14" s="4" t="n">
        <v>0.71</v>
      </c>
      <c r="L14" s="19" t="n">
        <v>0.156910798383337</v>
      </c>
      <c r="M14" s="4" t="n">
        <v>0.07</v>
      </c>
      <c r="N14" s="4" t="s">
        <v>48</v>
      </c>
    </row>
    <row r="15" customFormat="false" ht="14.25" hidden="false" customHeight="false" outlineLevel="0" collapsed="false">
      <c r="A15" s="4" t="s">
        <v>67</v>
      </c>
      <c r="B15" s="4" t="s">
        <v>22</v>
      </c>
      <c r="C15" s="4" t="s">
        <v>53</v>
      </c>
      <c r="D15" s="4" t="s">
        <v>68</v>
      </c>
      <c r="E15" s="4" t="n">
        <v>22.2</v>
      </c>
      <c r="F15" s="17" t="n">
        <v>25000000</v>
      </c>
      <c r="G15" s="17" t="n">
        <v>29153420</v>
      </c>
      <c r="H15" s="18" t="n">
        <v>16.6</v>
      </c>
      <c r="I15" s="4" t="n">
        <v>88</v>
      </c>
      <c r="J15" s="4" t="n">
        <v>0.6</v>
      </c>
      <c r="K15" s="4" t="n">
        <v>0.63</v>
      </c>
      <c r="L15" s="19" t="n">
        <v>0.121573340661911</v>
      </c>
      <c r="M15" s="4" t="n">
        <v>0.12</v>
      </c>
      <c r="N15" s="4" t="s">
        <v>48</v>
      </c>
    </row>
    <row r="16" customFormat="false" ht="14.25" hidden="false" customHeight="false" outlineLevel="0" collapsed="false">
      <c r="A16" s="4" t="s">
        <v>27</v>
      </c>
      <c r="B16" s="4" t="s">
        <v>28</v>
      </c>
      <c r="C16" s="4" t="s">
        <v>29</v>
      </c>
      <c r="D16" s="4" t="s">
        <v>69</v>
      </c>
      <c r="E16" s="4" t="n">
        <v>20</v>
      </c>
      <c r="F16" s="17" t="n">
        <v>20000000</v>
      </c>
      <c r="G16" s="17" t="n">
        <v>20297220</v>
      </c>
      <c r="H16" s="18" t="n">
        <v>1.5</v>
      </c>
      <c r="I16" s="4" t="n">
        <v>86</v>
      </c>
      <c r="J16" s="4" t="n">
        <v>0.77</v>
      </c>
      <c r="K16" s="4" t="n">
        <v>0.57</v>
      </c>
      <c r="L16" s="19" t="n">
        <v>0.248609087853081</v>
      </c>
      <c r="M16" s="4" t="n">
        <v>0.22</v>
      </c>
      <c r="N16" s="4" t="s">
        <v>59</v>
      </c>
    </row>
    <row r="17" customFormat="false" ht="14.25" hidden="false" customHeight="false" outlineLevel="0" collapsed="false">
      <c r="A17" s="4" t="s">
        <v>70</v>
      </c>
      <c r="B17" s="4" t="s">
        <v>25</v>
      </c>
      <c r="C17" s="4" t="s">
        <v>26</v>
      </c>
      <c r="D17" s="4" t="s">
        <v>49</v>
      </c>
      <c r="E17" s="4" t="n">
        <v>23.3</v>
      </c>
      <c r="F17" s="17" t="n">
        <v>8000000</v>
      </c>
      <c r="G17" s="17" t="n">
        <v>12943436</v>
      </c>
      <c r="H17" s="18" t="n">
        <v>61.8</v>
      </c>
      <c r="I17" s="4" t="n">
        <v>97</v>
      </c>
      <c r="J17" s="4" t="n">
        <v>0.52</v>
      </c>
      <c r="K17" s="4" t="n">
        <v>0.76</v>
      </c>
      <c r="L17" s="19" t="n">
        <v>0.112337482645937</v>
      </c>
      <c r="M17" s="4" t="n">
        <v>0.79</v>
      </c>
      <c r="N17" s="4" t="s">
        <v>48</v>
      </c>
    </row>
    <row r="18" customFormat="false" ht="14.25" hidden="false" customHeight="false" outlineLevel="0" collapsed="false">
      <c r="A18" s="4" t="s">
        <v>71</v>
      </c>
      <c r="B18" s="4" t="s">
        <v>28</v>
      </c>
      <c r="C18" s="4" t="s">
        <v>29</v>
      </c>
      <c r="D18" s="4" t="s">
        <v>72</v>
      </c>
      <c r="E18" s="4" t="n">
        <v>19.7</v>
      </c>
      <c r="F18" s="17" t="n">
        <v>24000000</v>
      </c>
      <c r="G18" s="17" t="n">
        <v>22705954</v>
      </c>
      <c r="H18" s="18" t="n">
        <v>-5.4</v>
      </c>
      <c r="I18" s="4" t="n">
        <v>83</v>
      </c>
      <c r="J18" s="4" t="n">
        <v>0.79</v>
      </c>
      <c r="K18" s="4" t="n">
        <v>0.53</v>
      </c>
      <c r="L18" s="19" t="n">
        <v>0.17326379208225</v>
      </c>
      <c r="M18" s="4" t="n">
        <v>0.22</v>
      </c>
      <c r="N18" s="4" t="s">
        <v>59</v>
      </c>
    </row>
    <row r="19" customFormat="false" ht="14.25" hidden="false" customHeight="false" outlineLevel="0" collapsed="false">
      <c r="A19" s="4" t="s">
        <v>73</v>
      </c>
      <c r="B19" s="4" t="s">
        <v>28</v>
      </c>
      <c r="C19" s="4" t="s">
        <v>29</v>
      </c>
      <c r="D19" s="4" t="s">
        <v>74</v>
      </c>
      <c r="E19" s="4" t="n">
        <v>24.9</v>
      </c>
      <c r="F19" s="17" t="n">
        <v>50000000</v>
      </c>
      <c r="G19" s="17" t="n">
        <v>74489394</v>
      </c>
      <c r="H19" s="18" t="n">
        <v>49</v>
      </c>
      <c r="I19" s="4" t="n">
        <v>93</v>
      </c>
      <c r="J19" s="4" t="n">
        <v>0.39</v>
      </c>
      <c r="K19" s="4" t="n">
        <v>0.75</v>
      </c>
      <c r="L19" s="19" t="n">
        <v>0.0490490931528155</v>
      </c>
      <c r="M19" s="4" t="n">
        <v>0.22</v>
      </c>
      <c r="N19" s="4" t="s">
        <v>48</v>
      </c>
    </row>
    <row r="20" customFormat="false" ht="14.25" hidden="false" customHeight="false" outlineLevel="0" collapsed="false">
      <c r="A20" s="4" t="s">
        <v>75</v>
      </c>
      <c r="B20" s="4" t="s">
        <v>25</v>
      </c>
      <c r="C20" s="4" t="s">
        <v>23</v>
      </c>
      <c r="D20" s="4" t="s">
        <v>51</v>
      </c>
      <c r="E20" s="4" t="n">
        <v>23.1</v>
      </c>
      <c r="F20" s="17" t="n">
        <v>15000000</v>
      </c>
      <c r="G20" s="17" t="n">
        <v>30708511</v>
      </c>
      <c r="H20" s="18" t="n">
        <v>104.7</v>
      </c>
      <c r="I20" s="4" t="n">
        <v>84</v>
      </c>
      <c r="J20" s="4" t="n">
        <v>0.53</v>
      </c>
      <c r="K20" s="4" t="n">
        <v>0.86</v>
      </c>
      <c r="L20" s="19" t="n">
        <v>0.112505319014064</v>
      </c>
      <c r="M20" s="4" t="n">
        <v>0.47</v>
      </c>
      <c r="N20" s="4" t="s">
        <v>48</v>
      </c>
    </row>
    <row r="21" customFormat="false" ht="14.25" hidden="false" customHeight="false" outlineLevel="0" collapsed="false">
      <c r="A21" s="4" t="s">
        <v>76</v>
      </c>
      <c r="B21" s="4" t="s">
        <v>28</v>
      </c>
      <c r="C21" s="4" t="s">
        <v>26</v>
      </c>
      <c r="D21" s="4" t="s">
        <v>77</v>
      </c>
      <c r="E21" s="4" t="n">
        <v>20.3</v>
      </c>
      <c r="F21" s="17" t="n">
        <v>35000000</v>
      </c>
      <c r="G21" s="17" t="n">
        <v>29631709</v>
      </c>
      <c r="H21" s="18" t="n">
        <v>-15.3</v>
      </c>
      <c r="I21" s="4" t="n">
        <v>90</v>
      </c>
      <c r="J21" s="4" t="n">
        <v>0.75</v>
      </c>
      <c r="K21" s="4" t="n">
        <v>0.47</v>
      </c>
      <c r="L21" s="19" t="n">
        <v>0.0449449029762427</v>
      </c>
      <c r="M21" s="4" t="n">
        <v>0.63</v>
      </c>
      <c r="N21" s="4" t="s">
        <v>59</v>
      </c>
    </row>
    <row r="22" customFormat="false" ht="14.25" hidden="false" customHeight="false" outlineLevel="0" collapsed="false">
      <c r="A22" s="4" t="s">
        <v>78</v>
      </c>
      <c r="B22" s="4" t="s">
        <v>25</v>
      </c>
      <c r="C22" s="4" t="s">
        <v>29</v>
      </c>
      <c r="D22" s="4" t="s">
        <v>79</v>
      </c>
      <c r="E22" s="4" t="n">
        <v>21.2</v>
      </c>
      <c r="F22" s="17" t="n">
        <v>45000000</v>
      </c>
      <c r="G22" s="17" t="n">
        <v>31555528</v>
      </c>
      <c r="H22" s="18" t="n">
        <v>-29.9</v>
      </c>
      <c r="I22" s="4" t="n">
        <v>99</v>
      </c>
      <c r="J22" s="4" t="n">
        <v>0.68</v>
      </c>
      <c r="K22" s="4" t="n">
        <v>0.34</v>
      </c>
      <c r="L22" s="19" t="n">
        <v>0.042690503458565</v>
      </c>
      <c r="M22" s="4" t="n">
        <v>0.54</v>
      </c>
      <c r="N22" s="4" t="s">
        <v>59</v>
      </c>
    </row>
    <row r="23" customFormat="false" ht="14.25" hidden="false" customHeight="false" outlineLevel="0" collapsed="false">
      <c r="A23" s="4" t="s">
        <v>80</v>
      </c>
      <c r="B23" s="4" t="s">
        <v>28</v>
      </c>
      <c r="C23" s="4" t="s">
        <v>53</v>
      </c>
      <c r="D23" s="4" t="s">
        <v>81</v>
      </c>
      <c r="E23" s="4" t="n">
        <v>21.7</v>
      </c>
      <c r="F23" s="17" t="n">
        <v>140000000</v>
      </c>
      <c r="G23" s="17" t="n">
        <v>87176443</v>
      </c>
      <c r="H23" s="18" t="n">
        <v>-37.7</v>
      </c>
      <c r="I23" s="4" t="n">
        <v>99</v>
      </c>
      <c r="J23" s="4" t="n">
        <v>0.64</v>
      </c>
      <c r="K23" s="4" t="n">
        <v>0.3</v>
      </c>
      <c r="L23" s="19" t="n">
        <v>0.0236884203658941</v>
      </c>
      <c r="M23" s="4" t="n">
        <v>0.34</v>
      </c>
      <c r="N23" s="4" t="s">
        <v>59</v>
      </c>
    </row>
    <row r="24" customFormat="false" ht="14.25" hidden="false" customHeight="false" outlineLevel="0" collapsed="false">
      <c r="A24" s="4" t="s">
        <v>82</v>
      </c>
      <c r="B24" s="4" t="s">
        <v>25</v>
      </c>
      <c r="C24" s="4" t="s">
        <v>29</v>
      </c>
      <c r="D24" s="4" t="s">
        <v>83</v>
      </c>
      <c r="E24" s="4" t="n">
        <v>23.6</v>
      </c>
      <c r="F24" s="17" t="n">
        <v>35000000</v>
      </c>
      <c r="G24" s="17" t="n">
        <v>43795501</v>
      </c>
      <c r="H24" s="18" t="n">
        <v>25.1</v>
      </c>
      <c r="I24" s="4" t="n">
        <v>96</v>
      </c>
      <c r="J24" s="4" t="n">
        <v>0.49</v>
      </c>
      <c r="K24" s="4" t="n">
        <v>0.62</v>
      </c>
      <c r="L24" s="19" t="n">
        <v>0.066708779157425</v>
      </c>
      <c r="M24" s="4" t="n">
        <v>0.54</v>
      </c>
      <c r="N24" s="4" t="s">
        <v>48</v>
      </c>
    </row>
    <row r="25" customFormat="false" ht="14.25" hidden="false" customHeight="false" outlineLevel="0" collapsed="false">
      <c r="A25" s="4" t="s">
        <v>84</v>
      </c>
      <c r="B25" s="4" t="s">
        <v>28</v>
      </c>
      <c r="C25" s="4" t="s">
        <v>29</v>
      </c>
      <c r="D25" s="4" t="s">
        <v>85</v>
      </c>
      <c r="E25" s="4" t="n">
        <v>22.4</v>
      </c>
      <c r="F25" s="17" t="n">
        <v>55000000</v>
      </c>
      <c r="G25" s="17" t="n">
        <v>43261979</v>
      </c>
      <c r="H25" s="18" t="n">
        <v>-21.3</v>
      </c>
      <c r="I25" s="4" t="n">
        <v>93</v>
      </c>
      <c r="J25" s="4" t="n">
        <v>0.58</v>
      </c>
      <c r="K25" s="4" t="n">
        <v>0.43</v>
      </c>
      <c r="L25" s="19" t="n">
        <v>0.0399353146105581</v>
      </c>
      <c r="M25" s="4" t="n">
        <v>0.22</v>
      </c>
      <c r="N25" s="4" t="s">
        <v>59</v>
      </c>
    </row>
    <row r="26" customFormat="false" ht="14.25" hidden="false" customHeight="false" outlineLevel="0" collapsed="false">
      <c r="A26" s="4" t="s">
        <v>86</v>
      </c>
      <c r="B26" s="4" t="s">
        <v>28</v>
      </c>
      <c r="C26" s="4" t="s">
        <v>26</v>
      </c>
      <c r="D26" s="4" t="s">
        <v>87</v>
      </c>
      <c r="E26" s="4" t="n">
        <v>24.4</v>
      </c>
      <c r="F26" s="17" t="n">
        <v>11000000</v>
      </c>
      <c r="G26" s="17" t="n">
        <v>19019939</v>
      </c>
      <c r="H26" s="18" t="n">
        <v>72.9</v>
      </c>
      <c r="I26" s="4" t="n">
        <v>98</v>
      </c>
      <c r="J26" s="4" t="n">
        <v>0.43</v>
      </c>
      <c r="K26" s="4" t="n">
        <v>0.8</v>
      </c>
      <c r="L26" s="19" t="n">
        <v>0.269374830820623</v>
      </c>
      <c r="M26" s="4" t="n">
        <v>0.63</v>
      </c>
      <c r="N26" s="4" t="s">
        <v>48</v>
      </c>
    </row>
    <row r="27" customFormat="false" ht="14.25" hidden="false" customHeight="false" outlineLevel="0" collapsed="false">
      <c r="A27" s="4" t="s">
        <v>88</v>
      </c>
      <c r="B27" s="4" t="s">
        <v>28</v>
      </c>
      <c r="C27" s="4" t="s">
        <v>29</v>
      </c>
      <c r="D27" s="4" t="s">
        <v>89</v>
      </c>
      <c r="E27" s="4" t="n">
        <v>22.7</v>
      </c>
      <c r="F27" s="17" t="n">
        <v>120000000</v>
      </c>
      <c r="G27" s="17" t="n">
        <v>82018708</v>
      </c>
      <c r="H27" s="18" t="n">
        <v>-31.7</v>
      </c>
      <c r="I27" s="4" t="n">
        <v>97</v>
      </c>
      <c r="J27" s="4" t="n">
        <v>0.56</v>
      </c>
      <c r="K27" s="4" t="n">
        <v>0.35</v>
      </c>
      <c r="L27" s="19" t="n">
        <v>0.021164556279375</v>
      </c>
      <c r="M27" s="4" t="n">
        <v>0.22</v>
      </c>
      <c r="N27" s="4" t="s">
        <v>59</v>
      </c>
    </row>
    <row r="28" customFormat="false" ht="14.25" hidden="false" customHeight="false" outlineLevel="0" collapsed="false">
      <c r="A28" s="4" t="s">
        <v>90</v>
      </c>
      <c r="B28" s="4" t="s">
        <v>22</v>
      </c>
      <c r="C28" s="4" t="s">
        <v>23</v>
      </c>
      <c r="D28" s="4" t="s">
        <v>91</v>
      </c>
      <c r="E28" s="4" t="n">
        <v>22.3</v>
      </c>
      <c r="F28" s="17" t="n">
        <v>70000000</v>
      </c>
      <c r="G28" s="17" t="n">
        <v>51943744</v>
      </c>
      <c r="H28" s="18" t="n">
        <v>-25.8</v>
      </c>
      <c r="I28" s="4" t="n">
        <v>96</v>
      </c>
      <c r="J28" s="4" t="n">
        <v>0.59</v>
      </c>
      <c r="K28" s="4" t="n">
        <v>0.31</v>
      </c>
      <c r="L28" s="19" t="n">
        <v>0.049513948319994</v>
      </c>
      <c r="M28" s="4" t="n">
        <v>0.07</v>
      </c>
      <c r="N28" s="4" t="s">
        <v>59</v>
      </c>
    </row>
    <row r="29" customFormat="false" ht="14.25" hidden="false" customHeight="false" outlineLevel="0" collapsed="false">
      <c r="A29" s="4" t="s">
        <v>92</v>
      </c>
      <c r="B29" s="4" t="s">
        <v>28</v>
      </c>
      <c r="C29" s="4" t="s">
        <v>29</v>
      </c>
      <c r="D29" s="4" t="s">
        <v>79</v>
      </c>
      <c r="E29" s="4" t="n">
        <v>25.7</v>
      </c>
      <c r="F29" s="17" t="n">
        <v>35000000</v>
      </c>
      <c r="G29" s="17" t="n">
        <v>45123056</v>
      </c>
      <c r="H29" s="18" t="n">
        <v>28.9</v>
      </c>
      <c r="I29" s="4" t="n">
        <v>98</v>
      </c>
      <c r="J29" s="4" t="n">
        <v>0.33</v>
      </c>
      <c r="K29" s="4" t="n">
        <v>0.69</v>
      </c>
      <c r="L29" s="19" t="n">
        <v>0.111512301796009</v>
      </c>
      <c r="M29" s="4" t="n">
        <v>0.22</v>
      </c>
      <c r="N29" s="4" t="s">
        <v>48</v>
      </c>
    </row>
    <row r="30" customFormat="false" ht="14.25" hidden="false" customHeight="false" outlineLevel="0" collapsed="false">
      <c r="A30" s="4" t="s">
        <v>93</v>
      </c>
      <c r="B30" s="4" t="s">
        <v>25</v>
      </c>
      <c r="C30" s="4" t="s">
        <v>53</v>
      </c>
      <c r="D30" s="4" t="s">
        <v>94</v>
      </c>
      <c r="E30" s="4" t="n">
        <v>24.1</v>
      </c>
      <c r="F30" s="17" t="n">
        <v>5000000</v>
      </c>
      <c r="G30" s="17" t="n">
        <v>8926078</v>
      </c>
      <c r="H30" s="18" t="n">
        <v>78.5</v>
      </c>
      <c r="I30" s="4" t="n">
        <v>88</v>
      </c>
      <c r="J30" s="4" t="n">
        <v>0.46</v>
      </c>
      <c r="K30" s="4" t="n">
        <v>0.81</v>
      </c>
      <c r="L30" s="19" t="n">
        <v>0.171475608293615</v>
      </c>
      <c r="M30" s="4" t="n">
        <v>0.4</v>
      </c>
      <c r="N30" s="4" t="s">
        <v>48</v>
      </c>
    </row>
    <row r="31" customFormat="false" ht="14.25" hidden="false" customHeight="false" outlineLevel="0" collapsed="false">
      <c r="A31" s="4" t="s">
        <v>95</v>
      </c>
      <c r="B31" s="4" t="s">
        <v>22</v>
      </c>
      <c r="C31" s="4" t="s">
        <v>23</v>
      </c>
      <c r="D31" s="4" t="s">
        <v>96</v>
      </c>
      <c r="E31" s="4" t="n">
        <v>24.6</v>
      </c>
      <c r="F31" s="17" t="n">
        <v>10000000</v>
      </c>
      <c r="G31" s="17" t="n">
        <v>14563376</v>
      </c>
      <c r="H31" s="18" t="n">
        <v>45.6</v>
      </c>
      <c r="I31" s="4" t="n">
        <v>95</v>
      </c>
      <c r="J31" s="4" t="n">
        <v>0.42</v>
      </c>
      <c r="K31" s="4" t="n">
        <v>0.75</v>
      </c>
      <c r="L31" s="19" t="n">
        <v>0.340885395063197</v>
      </c>
      <c r="M31" s="4" t="n">
        <v>0.07</v>
      </c>
      <c r="N31" s="4" t="s">
        <v>48</v>
      </c>
    </row>
    <row r="32" customFormat="false" ht="14.25" hidden="false" customHeight="false" outlineLevel="0" collapsed="false">
      <c r="A32" s="4" t="s">
        <v>97</v>
      </c>
      <c r="B32" s="4" t="s">
        <v>22</v>
      </c>
      <c r="C32" s="4" t="s">
        <v>23</v>
      </c>
      <c r="D32" s="4" t="s">
        <v>98</v>
      </c>
      <c r="E32" s="4" t="n">
        <v>21.9</v>
      </c>
      <c r="F32" s="17" t="n">
        <v>25000000</v>
      </c>
      <c r="G32" s="17" t="n">
        <v>27695083</v>
      </c>
      <c r="H32" s="18" t="n">
        <v>10.8</v>
      </c>
      <c r="I32" s="4" t="n">
        <v>78</v>
      </c>
      <c r="J32" s="4" t="n">
        <v>0.62</v>
      </c>
      <c r="K32" s="4" t="n">
        <v>0.6</v>
      </c>
      <c r="L32" s="19" t="n">
        <v>0.0781689206373783</v>
      </c>
      <c r="M32" s="4" t="n">
        <v>0.07</v>
      </c>
      <c r="N32" s="4" t="s">
        <v>48</v>
      </c>
    </row>
    <row r="33" customFormat="false" ht="14.25" hidden="false" customHeight="false" outlineLevel="0" collapsed="false">
      <c r="A33" s="4" t="s">
        <v>99</v>
      </c>
      <c r="B33" s="4" t="s">
        <v>25</v>
      </c>
      <c r="C33" s="4" t="s">
        <v>26</v>
      </c>
      <c r="D33" s="4" t="s">
        <v>100</v>
      </c>
      <c r="E33" s="4" t="n">
        <v>25</v>
      </c>
      <c r="F33" s="17" t="n">
        <v>4000000</v>
      </c>
      <c r="G33" s="17" t="n">
        <v>14629594</v>
      </c>
      <c r="H33" s="18" t="n">
        <v>265.7</v>
      </c>
      <c r="I33" s="4" t="n">
        <v>93</v>
      </c>
      <c r="J33" s="4" t="n">
        <v>0.38</v>
      </c>
      <c r="K33" s="4" t="n">
        <v>0.93</v>
      </c>
      <c r="L33" s="19" t="n">
        <v>0.209947828291461</v>
      </c>
      <c r="M33" s="4" t="n">
        <v>0.79</v>
      </c>
      <c r="N33" s="4" t="s">
        <v>48</v>
      </c>
    </row>
    <row r="34" customFormat="false" ht="14.25" hidden="false" customHeight="false" outlineLevel="0" collapsed="false">
      <c r="A34" s="4" t="s">
        <v>101</v>
      </c>
      <c r="B34" s="4" t="s">
        <v>22</v>
      </c>
      <c r="C34" s="4" t="s">
        <v>53</v>
      </c>
      <c r="D34" s="4" t="s">
        <v>102</v>
      </c>
      <c r="E34" s="4" t="n">
        <v>24</v>
      </c>
      <c r="F34" s="17" t="n">
        <v>7000000</v>
      </c>
      <c r="G34" s="17" t="n">
        <v>9634255</v>
      </c>
      <c r="H34" s="18" t="n">
        <v>37.6</v>
      </c>
      <c r="I34" s="4" t="n">
        <v>93</v>
      </c>
      <c r="J34" s="4" t="n">
        <v>0.46</v>
      </c>
      <c r="K34" s="4" t="n">
        <v>0.73</v>
      </c>
      <c r="L34" s="19" t="n">
        <v>0.347570719708823</v>
      </c>
      <c r="M34" s="4" t="n">
        <v>0.12</v>
      </c>
      <c r="N34" s="4" t="s">
        <v>48</v>
      </c>
    </row>
    <row r="35" customFormat="false" ht="14.25" hidden="false" customHeight="false" outlineLevel="0" collapsed="false">
      <c r="A35" s="4" t="s">
        <v>103</v>
      </c>
      <c r="B35" s="4" t="s">
        <v>25</v>
      </c>
      <c r="C35" s="4" t="s">
        <v>53</v>
      </c>
      <c r="D35" s="4" t="s">
        <v>104</v>
      </c>
      <c r="E35" s="4" t="n">
        <v>22</v>
      </c>
      <c r="F35" s="17" t="n">
        <v>10000000</v>
      </c>
      <c r="G35" s="17" t="n">
        <v>17049147</v>
      </c>
      <c r="H35" s="18" t="n">
        <v>70.5</v>
      </c>
      <c r="I35" s="4" t="n">
        <v>75</v>
      </c>
      <c r="J35" s="4" t="n">
        <v>0.62</v>
      </c>
      <c r="K35" s="4" t="n">
        <v>0.78</v>
      </c>
      <c r="L35" s="19" t="n">
        <v>0.138008050942063</v>
      </c>
      <c r="M35" s="4" t="n">
        <v>0.4</v>
      </c>
      <c r="N35" s="4" t="s">
        <v>48</v>
      </c>
    </row>
    <row r="36" customFormat="false" ht="14.25" hidden="false" customHeight="false" outlineLevel="0" collapsed="false">
      <c r="A36" s="4" t="s">
        <v>105</v>
      </c>
      <c r="B36" s="4" t="s">
        <v>22</v>
      </c>
      <c r="C36" s="4" t="s">
        <v>106</v>
      </c>
      <c r="D36" s="4" t="s">
        <v>107</v>
      </c>
      <c r="E36" s="4" t="n">
        <v>17.5</v>
      </c>
      <c r="F36" s="17" t="n">
        <v>200000000</v>
      </c>
      <c r="G36" s="17" t="n">
        <v>66261914</v>
      </c>
      <c r="H36" s="18" t="n">
        <v>-66.9</v>
      </c>
      <c r="I36" s="4" t="n">
        <v>86</v>
      </c>
      <c r="J36" s="4" t="n">
        <v>0.96</v>
      </c>
      <c r="K36" s="4" t="n">
        <v>0.02</v>
      </c>
      <c r="L36" s="19" t="n">
        <v>0.0090363176815631</v>
      </c>
      <c r="M36" s="4" t="n">
        <v>0.28</v>
      </c>
      <c r="N36" s="4" t="s">
        <v>59</v>
      </c>
    </row>
    <row r="37" customFormat="false" ht="14.25" hidden="false" customHeight="false" outlineLevel="0" collapsed="false">
      <c r="A37" s="4" t="s">
        <v>108</v>
      </c>
      <c r="B37" s="4" t="s">
        <v>22</v>
      </c>
      <c r="C37" s="4" t="s">
        <v>53</v>
      </c>
      <c r="D37" s="4" t="s">
        <v>109</v>
      </c>
      <c r="E37" s="4" t="n">
        <v>24.6</v>
      </c>
      <c r="F37" s="17" t="n">
        <v>32000000</v>
      </c>
      <c r="G37" s="17" t="n">
        <v>38711929</v>
      </c>
      <c r="H37" s="18" t="n">
        <v>21</v>
      </c>
      <c r="I37" s="4" t="n">
        <v>89</v>
      </c>
      <c r="J37" s="4" t="n">
        <v>0.41</v>
      </c>
      <c r="K37" s="4" t="n">
        <v>0.65</v>
      </c>
      <c r="L37" s="19" t="n">
        <v>0.0680475896923556</v>
      </c>
      <c r="M37" s="4" t="n">
        <v>0.12</v>
      </c>
      <c r="N37" s="4" t="s">
        <v>48</v>
      </c>
    </row>
    <row r="38" customFormat="false" ht="14.25" hidden="false" customHeight="false" outlineLevel="0" collapsed="false">
      <c r="A38" s="4" t="s">
        <v>110</v>
      </c>
      <c r="B38" s="4" t="s">
        <v>22</v>
      </c>
      <c r="C38" s="4" t="s">
        <v>29</v>
      </c>
      <c r="D38" s="4" t="s">
        <v>111</v>
      </c>
      <c r="E38" s="4" t="n">
        <v>22.5</v>
      </c>
      <c r="F38" s="17" t="n">
        <v>45000000</v>
      </c>
      <c r="G38" s="17" t="n">
        <v>43265510</v>
      </c>
      <c r="H38" s="18" t="n">
        <v>-3.9</v>
      </c>
      <c r="I38" s="4" t="n">
        <v>87</v>
      </c>
      <c r="J38" s="4" t="n">
        <v>0.58</v>
      </c>
      <c r="K38" s="4" t="n">
        <v>0.5</v>
      </c>
      <c r="L38" s="19" t="n">
        <v>0.130460948322394</v>
      </c>
      <c r="M38" s="4" t="n">
        <v>0.03</v>
      </c>
      <c r="N38" s="4" t="s">
        <v>59</v>
      </c>
    </row>
    <row r="39" customFormat="false" ht="14.25" hidden="false" customHeight="false" outlineLevel="0" collapsed="false">
      <c r="A39" s="4" t="s">
        <v>112</v>
      </c>
      <c r="B39" s="4" t="s">
        <v>22</v>
      </c>
      <c r="C39" s="4" t="s">
        <v>26</v>
      </c>
      <c r="D39" s="4" t="s">
        <v>77</v>
      </c>
      <c r="E39" s="4" t="n">
        <v>19.3</v>
      </c>
      <c r="F39" s="17" t="n">
        <v>30000000</v>
      </c>
      <c r="G39" s="17" t="n">
        <v>23039289</v>
      </c>
      <c r="H39" s="18" t="n">
        <v>-23.2</v>
      </c>
      <c r="I39" s="4" t="n">
        <v>80</v>
      </c>
      <c r="J39" s="4" t="n">
        <v>0.82</v>
      </c>
      <c r="K39" s="4" t="n">
        <v>0.33</v>
      </c>
      <c r="L39" s="19" t="n">
        <v>0.116333319874527</v>
      </c>
      <c r="M39" s="4" t="n">
        <v>0.16</v>
      </c>
      <c r="N39" s="4" t="s">
        <v>59</v>
      </c>
    </row>
    <row r="40" customFormat="false" ht="14.25" hidden="false" customHeight="false" outlineLevel="0" collapsed="false">
      <c r="A40" s="4" t="s">
        <v>113</v>
      </c>
      <c r="B40" s="4" t="s">
        <v>28</v>
      </c>
      <c r="C40" s="4" t="s">
        <v>23</v>
      </c>
      <c r="D40" s="4" t="s">
        <v>58</v>
      </c>
      <c r="E40" s="4" t="n">
        <v>21</v>
      </c>
      <c r="F40" s="17" t="n">
        <v>22000000</v>
      </c>
      <c r="G40" s="17" t="n">
        <v>23558150</v>
      </c>
      <c r="H40" s="18" t="n">
        <v>7.1</v>
      </c>
      <c r="I40" s="4" t="n">
        <v>83</v>
      </c>
      <c r="J40" s="4" t="n">
        <v>0.69</v>
      </c>
      <c r="K40" s="4" t="n">
        <v>0.59</v>
      </c>
      <c r="L40" s="19" t="n">
        <v>0.0968743168750788</v>
      </c>
      <c r="M40" s="4" t="n">
        <v>0.69</v>
      </c>
      <c r="N40" s="4" t="s">
        <v>48</v>
      </c>
    </row>
    <row r="41" customFormat="false" ht="14.25" hidden="false" customHeight="false" outlineLevel="0" collapsed="false">
      <c r="A41" s="4" t="s">
        <v>114</v>
      </c>
      <c r="B41" s="4" t="s">
        <v>22</v>
      </c>
      <c r="C41" s="4" t="s">
        <v>23</v>
      </c>
      <c r="D41" s="4" t="s">
        <v>96</v>
      </c>
      <c r="E41" s="4" t="n">
        <v>23.5</v>
      </c>
      <c r="F41" s="17" t="n">
        <v>25000000</v>
      </c>
      <c r="G41" s="17" t="n">
        <v>28943683</v>
      </c>
      <c r="H41" s="18" t="n">
        <v>15.8</v>
      </c>
      <c r="I41" s="4" t="n">
        <v>83</v>
      </c>
      <c r="J41" s="4" t="n">
        <v>0.5</v>
      </c>
      <c r="K41" s="4" t="n">
        <v>0.63</v>
      </c>
      <c r="L41" s="19" t="n">
        <v>0.0852657601904884</v>
      </c>
      <c r="M41" s="4" t="n">
        <v>0.07</v>
      </c>
      <c r="N41" s="4" t="s">
        <v>48</v>
      </c>
    </row>
    <row r="42" customFormat="false" ht="14.25" hidden="false" customHeight="false" outlineLevel="0" collapsed="false">
      <c r="A42" s="4" t="s">
        <v>115</v>
      </c>
      <c r="B42" s="4" t="s">
        <v>28</v>
      </c>
      <c r="C42" s="4" t="s">
        <v>23</v>
      </c>
      <c r="D42" s="4" t="s">
        <v>98</v>
      </c>
      <c r="E42" s="4" t="n">
        <v>21</v>
      </c>
      <c r="F42" s="17" t="n">
        <v>20000000</v>
      </c>
      <c r="G42" s="17" t="n">
        <v>24356085</v>
      </c>
      <c r="H42" s="18" t="n">
        <v>21.8</v>
      </c>
      <c r="I42" s="4" t="n">
        <v>77</v>
      </c>
      <c r="J42" s="4" t="n">
        <v>0.69</v>
      </c>
      <c r="K42" s="4" t="n">
        <v>0.67</v>
      </c>
      <c r="L42" s="19" t="n">
        <v>0.0907892169264451</v>
      </c>
      <c r="M42" s="4" t="n">
        <v>0.69</v>
      </c>
      <c r="N42" s="4" t="s">
        <v>48</v>
      </c>
    </row>
    <row r="43" customFormat="false" ht="14.25" hidden="false" customHeight="false" outlineLevel="0" collapsed="false">
      <c r="A43" s="4" t="s">
        <v>116</v>
      </c>
      <c r="B43" s="4" t="s">
        <v>25</v>
      </c>
      <c r="C43" s="4" t="s">
        <v>29</v>
      </c>
      <c r="D43" s="4" t="s">
        <v>117</v>
      </c>
      <c r="E43" s="4" t="n">
        <v>25.8</v>
      </c>
      <c r="F43" s="17" t="n">
        <v>14000000</v>
      </c>
      <c r="G43" s="17" t="n">
        <v>24880833</v>
      </c>
      <c r="H43" s="18" t="n">
        <v>77.7</v>
      </c>
      <c r="I43" s="4" t="n">
        <v>95</v>
      </c>
      <c r="J43" s="4" t="n">
        <v>0.32</v>
      </c>
      <c r="K43" s="4" t="n">
        <v>0.8</v>
      </c>
      <c r="L43" s="19" t="n">
        <v>0.128728622676626</v>
      </c>
      <c r="M43" s="4" t="n">
        <v>0.54</v>
      </c>
      <c r="N43" s="4" t="s">
        <v>48</v>
      </c>
    </row>
    <row r="44" customFormat="false" ht="14.25" hidden="false" customHeight="false" outlineLevel="0" collapsed="false">
      <c r="A44" s="4" t="s">
        <v>118</v>
      </c>
      <c r="B44" s="4" t="s">
        <v>28</v>
      </c>
      <c r="C44" s="4" t="s">
        <v>53</v>
      </c>
      <c r="D44" s="4" t="s">
        <v>109</v>
      </c>
      <c r="E44" s="4" t="n">
        <v>18.9</v>
      </c>
      <c r="F44" s="17" t="n">
        <v>12000000</v>
      </c>
      <c r="G44" s="17" t="n">
        <v>14595531</v>
      </c>
      <c r="H44" s="18" t="n">
        <v>21.6</v>
      </c>
      <c r="I44" s="4" t="n">
        <v>66</v>
      </c>
      <c r="J44" s="4" t="n">
        <v>0.85</v>
      </c>
      <c r="K44" s="4" t="n">
        <v>0.67</v>
      </c>
      <c r="L44" s="19" t="n">
        <v>0.251919028961812</v>
      </c>
      <c r="M44" s="4" t="n">
        <v>0.34</v>
      </c>
      <c r="N44" s="4" t="s">
        <v>48</v>
      </c>
    </row>
    <row r="45" customFormat="false" ht="14.25" hidden="false" customHeight="false" outlineLevel="0" collapsed="false">
      <c r="A45" s="4" t="s">
        <v>119</v>
      </c>
      <c r="B45" s="4" t="s">
        <v>25</v>
      </c>
      <c r="C45" s="4" t="s">
        <v>29</v>
      </c>
      <c r="D45" s="4" t="s">
        <v>120</v>
      </c>
      <c r="E45" s="4" t="n">
        <v>24.7</v>
      </c>
      <c r="F45" s="17" t="n">
        <v>25000000</v>
      </c>
      <c r="G45" s="17" t="n">
        <v>34759844</v>
      </c>
      <c r="H45" s="18" t="n">
        <v>39</v>
      </c>
      <c r="I45" s="4" t="n">
        <v>95</v>
      </c>
      <c r="J45" s="4" t="n">
        <v>0.4</v>
      </c>
      <c r="K45" s="4" t="n">
        <v>0.67</v>
      </c>
      <c r="L45" s="19" t="n">
        <v>0.0991148712346281</v>
      </c>
      <c r="M45" s="4" t="n">
        <v>0.54</v>
      </c>
      <c r="N45" s="4" t="s">
        <v>48</v>
      </c>
    </row>
    <row r="46" customFormat="false" ht="14.25" hidden="false" customHeight="false" outlineLevel="0" collapsed="false">
      <c r="A46" s="4" t="s">
        <v>121</v>
      </c>
      <c r="B46" s="4" t="s">
        <v>22</v>
      </c>
      <c r="C46" s="4" t="s">
        <v>53</v>
      </c>
      <c r="D46" s="4" t="s">
        <v>122</v>
      </c>
      <c r="E46" s="4" t="n">
        <v>23.1</v>
      </c>
      <c r="F46" s="17" t="n">
        <v>100000000</v>
      </c>
      <c r="G46" s="17" t="n">
        <v>67849368</v>
      </c>
      <c r="H46" s="18" t="n">
        <v>-32.2</v>
      </c>
      <c r="I46" s="4" t="n">
        <v>98</v>
      </c>
      <c r="J46" s="4" t="n">
        <v>0.53</v>
      </c>
      <c r="K46" s="4" t="n">
        <v>0.27</v>
      </c>
      <c r="L46" s="19" t="n">
        <v>0.0411782606632565</v>
      </c>
      <c r="M46" s="4" t="n">
        <v>0.12</v>
      </c>
      <c r="N46" s="4" t="s">
        <v>59</v>
      </c>
    </row>
    <row r="47" customFormat="false" ht="14.25" hidden="false" customHeight="false" outlineLevel="0" collapsed="false">
      <c r="A47" s="4" t="s">
        <v>123</v>
      </c>
      <c r="B47" s="4" t="s">
        <v>22</v>
      </c>
      <c r="C47" s="4" t="s">
        <v>53</v>
      </c>
      <c r="D47" s="4" t="s">
        <v>124</v>
      </c>
      <c r="E47" s="4" t="n">
        <v>26.8</v>
      </c>
      <c r="F47" s="17" t="n">
        <v>22000000</v>
      </c>
      <c r="G47" s="17" t="n">
        <v>38601349</v>
      </c>
      <c r="H47" s="18" t="n">
        <v>75.5</v>
      </c>
      <c r="I47" s="4" t="n">
        <v>91</v>
      </c>
      <c r="J47" s="4" t="n">
        <v>0.25</v>
      </c>
      <c r="K47" s="4" t="n">
        <v>0.83</v>
      </c>
      <c r="L47" s="19" t="n">
        <v>0.166509054002896</v>
      </c>
      <c r="M47" s="4" t="n">
        <v>0.12</v>
      </c>
      <c r="N47" s="4" t="s">
        <v>48</v>
      </c>
    </row>
    <row r="48" customFormat="false" ht="14.25" hidden="false" customHeight="false" outlineLevel="0" collapsed="false">
      <c r="A48" s="4" t="s">
        <v>125</v>
      </c>
      <c r="B48" s="4" t="s">
        <v>28</v>
      </c>
      <c r="C48" s="4" t="s">
        <v>26</v>
      </c>
      <c r="D48" s="4" t="s">
        <v>126</v>
      </c>
      <c r="E48" s="4" t="n">
        <v>23.8</v>
      </c>
      <c r="F48" s="17" t="n">
        <v>35000000</v>
      </c>
      <c r="G48" s="17" t="n">
        <v>34537360</v>
      </c>
      <c r="H48" s="18" t="n">
        <v>-1.3</v>
      </c>
      <c r="I48" s="4" t="n">
        <v>96</v>
      </c>
      <c r="J48" s="4" t="n">
        <v>0.48</v>
      </c>
      <c r="K48" s="4" t="n">
        <v>0.56</v>
      </c>
      <c r="L48" s="19" t="n">
        <v>0.0992320103657573</v>
      </c>
      <c r="M48" s="4" t="n">
        <v>0.63</v>
      </c>
      <c r="N48" s="4" t="s">
        <v>59</v>
      </c>
    </row>
    <row r="49" customFormat="false" ht="14.25" hidden="false" customHeight="false" outlineLevel="0" collapsed="false">
      <c r="A49" s="4" t="s">
        <v>127</v>
      </c>
      <c r="B49" s="4" t="s">
        <v>22</v>
      </c>
      <c r="C49" s="4" t="s">
        <v>29</v>
      </c>
      <c r="D49" s="4" t="s">
        <v>128</v>
      </c>
      <c r="E49" s="4" t="n">
        <v>23.7</v>
      </c>
      <c r="F49" s="17" t="n">
        <v>20000000</v>
      </c>
      <c r="G49" s="17" t="n">
        <v>22562355</v>
      </c>
      <c r="H49" s="18" t="n">
        <v>12.8</v>
      </c>
      <c r="I49" s="4" t="n">
        <v>92</v>
      </c>
      <c r="J49" s="4" t="n">
        <v>0.49</v>
      </c>
      <c r="K49" s="4" t="n">
        <v>0.61</v>
      </c>
      <c r="L49" s="19" t="n">
        <v>0.352747803481719</v>
      </c>
      <c r="M49" s="4" t="n">
        <v>0.03</v>
      </c>
      <c r="N49" s="4" t="s">
        <v>48</v>
      </c>
    </row>
    <row r="50" customFormat="false" ht="14.25" hidden="false" customHeight="false" outlineLevel="0" collapsed="false">
      <c r="A50" s="4" t="s">
        <v>129</v>
      </c>
      <c r="B50" s="4" t="s">
        <v>28</v>
      </c>
      <c r="C50" s="4" t="s">
        <v>53</v>
      </c>
      <c r="D50" s="4" t="s">
        <v>124</v>
      </c>
      <c r="E50" s="4" t="n">
        <v>22.5</v>
      </c>
      <c r="F50" s="17" t="n">
        <v>35000000</v>
      </c>
      <c r="G50" s="17" t="n">
        <v>25521681</v>
      </c>
      <c r="H50" s="18" t="n">
        <v>-27.1</v>
      </c>
      <c r="I50" s="4" t="n">
        <v>92</v>
      </c>
      <c r="J50" s="4" t="n">
        <v>0.58</v>
      </c>
      <c r="K50" s="4" t="n">
        <v>0.38</v>
      </c>
      <c r="L50" s="19" t="n">
        <v>0.0788778383742396</v>
      </c>
      <c r="M50" s="4" t="n">
        <v>0.34</v>
      </c>
      <c r="N50" s="4" t="s">
        <v>59</v>
      </c>
    </row>
    <row r="51" customFormat="false" ht="14.25" hidden="false" customHeight="false" outlineLevel="0" collapsed="false">
      <c r="A51" s="4" t="s">
        <v>130</v>
      </c>
      <c r="B51" s="4" t="s">
        <v>28</v>
      </c>
      <c r="C51" s="4" t="s">
        <v>53</v>
      </c>
      <c r="D51" s="4" t="s">
        <v>131</v>
      </c>
      <c r="E51" s="4" t="n">
        <v>22.1</v>
      </c>
      <c r="F51" s="17" t="n">
        <v>9000000</v>
      </c>
      <c r="G51" s="17" t="n">
        <v>14019734</v>
      </c>
      <c r="H51" s="18" t="n">
        <v>55.8</v>
      </c>
      <c r="I51" s="4" t="n">
        <v>79</v>
      </c>
      <c r="J51" s="4" t="n">
        <v>0.61</v>
      </c>
      <c r="K51" s="4" t="n">
        <v>0.77</v>
      </c>
      <c r="L51" s="19" t="n">
        <v>0.368279489999503</v>
      </c>
      <c r="M51" s="4" t="n">
        <v>0.34</v>
      </c>
      <c r="N51" s="4" t="s">
        <v>48</v>
      </c>
    </row>
    <row r="52" customFormat="false" ht="14.25" hidden="false" customHeight="false" outlineLevel="0" collapsed="false">
      <c r="A52" s="4" t="s">
        <v>132</v>
      </c>
      <c r="B52" s="4" t="s">
        <v>22</v>
      </c>
      <c r="C52" s="4" t="s">
        <v>53</v>
      </c>
      <c r="D52" s="4" t="s">
        <v>54</v>
      </c>
      <c r="E52" s="4" t="n">
        <v>24.5</v>
      </c>
      <c r="F52" s="17" t="n">
        <v>35000000</v>
      </c>
      <c r="G52" s="17" t="n">
        <v>33074124</v>
      </c>
      <c r="H52" s="18" t="n">
        <v>-5.5</v>
      </c>
      <c r="I52" s="4" t="n">
        <v>94</v>
      </c>
      <c r="J52" s="4" t="n">
        <v>0.42</v>
      </c>
      <c r="K52" s="4" t="n">
        <v>0.48</v>
      </c>
      <c r="L52" s="19" t="n">
        <v>0.088467918462929</v>
      </c>
      <c r="M52" s="4" t="n">
        <v>0.12</v>
      </c>
      <c r="N52" s="4" t="s">
        <v>59</v>
      </c>
    </row>
    <row r="53" customFormat="false" ht="14.25" hidden="false" customHeight="false" outlineLevel="0" collapsed="false">
      <c r="A53" s="4" t="s">
        <v>133</v>
      </c>
      <c r="B53" s="4" t="s">
        <v>28</v>
      </c>
      <c r="C53" s="4" t="s">
        <v>53</v>
      </c>
      <c r="D53" s="4" t="s">
        <v>134</v>
      </c>
      <c r="E53" s="4" t="n">
        <v>19</v>
      </c>
      <c r="F53" s="17" t="n">
        <v>18000000</v>
      </c>
      <c r="G53" s="17" t="n">
        <v>19931263</v>
      </c>
      <c r="H53" s="18" t="n">
        <v>10.7</v>
      </c>
      <c r="I53" s="4" t="n">
        <v>63</v>
      </c>
      <c r="J53" s="4" t="n">
        <v>0.84</v>
      </c>
      <c r="K53" s="4" t="n">
        <v>0.61</v>
      </c>
      <c r="L53" s="19" t="n">
        <v>0.159250772335324</v>
      </c>
      <c r="M53" s="4" t="n">
        <v>0.34</v>
      </c>
      <c r="N53" s="4" t="s">
        <v>48</v>
      </c>
    </row>
    <row r="54" customFormat="false" ht="14.25" hidden="false" customHeight="false" outlineLevel="0" collapsed="false">
      <c r="A54" s="4" t="s">
        <v>135</v>
      </c>
      <c r="B54" s="4" t="s">
        <v>28</v>
      </c>
      <c r="C54" s="4" t="s">
        <v>53</v>
      </c>
      <c r="D54" s="4" t="s">
        <v>122</v>
      </c>
      <c r="E54" s="4" t="n">
        <v>21.8</v>
      </c>
      <c r="F54" s="17" t="n">
        <v>140000000</v>
      </c>
      <c r="G54" s="17" t="n">
        <v>62638354</v>
      </c>
      <c r="H54" s="18" t="n">
        <v>-55.3</v>
      </c>
      <c r="I54" s="4" t="n">
        <v>99</v>
      </c>
      <c r="J54" s="4" t="n">
        <v>0.63</v>
      </c>
      <c r="K54" s="4" t="n">
        <v>0.16</v>
      </c>
      <c r="L54" s="19" t="n">
        <v>0.0384037357128195</v>
      </c>
      <c r="M54" s="4" t="n">
        <v>0.34</v>
      </c>
      <c r="N54" s="4" t="s">
        <v>59</v>
      </c>
    </row>
    <row r="55" customFormat="false" ht="14.25" hidden="false" customHeight="false" outlineLevel="0" collapsed="false">
      <c r="A55" s="4" t="s">
        <v>136</v>
      </c>
      <c r="B55" s="4" t="s">
        <v>22</v>
      </c>
      <c r="C55" s="4" t="s">
        <v>29</v>
      </c>
      <c r="D55" s="4" t="s">
        <v>137</v>
      </c>
      <c r="E55" s="4" t="n">
        <v>23.6</v>
      </c>
      <c r="F55" s="17" t="n">
        <v>40000000</v>
      </c>
      <c r="G55" s="17" t="n">
        <v>50020483</v>
      </c>
      <c r="H55" s="18" t="n">
        <v>25.1</v>
      </c>
      <c r="I55" s="4" t="n">
        <v>77</v>
      </c>
      <c r="J55" s="4" t="n">
        <v>0.49</v>
      </c>
      <c r="K55" s="4" t="n">
        <v>0.67</v>
      </c>
      <c r="L55" s="19" t="n">
        <v>0.131221533545805</v>
      </c>
      <c r="M55" s="4" t="n">
        <v>0.03</v>
      </c>
      <c r="N55" s="4" t="s">
        <v>48</v>
      </c>
    </row>
    <row r="56" customFormat="false" ht="14.25" hidden="false" customHeight="false" outlineLevel="0" collapsed="false">
      <c r="A56" s="4" t="s">
        <v>138</v>
      </c>
      <c r="B56" s="4" t="s">
        <v>22</v>
      </c>
      <c r="C56" s="4" t="s">
        <v>53</v>
      </c>
      <c r="D56" s="4" t="s">
        <v>81</v>
      </c>
      <c r="E56" s="4" t="n">
        <v>24</v>
      </c>
      <c r="F56" s="17" t="n">
        <v>40000000</v>
      </c>
      <c r="G56" s="17" t="n">
        <v>36992121</v>
      </c>
      <c r="H56" s="18" t="n">
        <v>-7.5</v>
      </c>
      <c r="I56" s="4" t="n">
        <v>94</v>
      </c>
      <c r="J56" s="4" t="n">
        <v>0.46</v>
      </c>
      <c r="K56" s="4" t="n">
        <v>0.46</v>
      </c>
      <c r="L56" s="19" t="n">
        <v>0.161647122087129</v>
      </c>
      <c r="M56" s="4" t="n">
        <v>0.12</v>
      </c>
      <c r="N56" s="4" t="s">
        <v>59</v>
      </c>
    </row>
    <row r="57" customFormat="false" ht="14.25" hidden="false" customHeight="false" outlineLevel="0" collapsed="false">
      <c r="A57" s="4" t="s">
        <v>139</v>
      </c>
      <c r="B57" s="4" t="s">
        <v>25</v>
      </c>
      <c r="C57" s="4" t="s">
        <v>29</v>
      </c>
      <c r="D57" s="4" t="s">
        <v>120</v>
      </c>
      <c r="E57" s="4" t="n">
        <v>25.3</v>
      </c>
      <c r="F57" s="17" t="n">
        <v>25000000</v>
      </c>
      <c r="G57" s="17" t="n">
        <v>32039093</v>
      </c>
      <c r="H57" s="18" t="n">
        <v>28.2</v>
      </c>
      <c r="I57" s="4" t="n">
        <v>95</v>
      </c>
      <c r="J57" s="4" t="n">
        <v>0.36</v>
      </c>
      <c r="K57" s="4" t="n">
        <v>0.63</v>
      </c>
      <c r="L57" s="19" t="n">
        <v>0.0693970922766997</v>
      </c>
      <c r="M57" s="4" t="n">
        <v>0.54</v>
      </c>
      <c r="N57" s="4" t="s">
        <v>48</v>
      </c>
    </row>
    <row r="58" customFormat="false" ht="14.25" hidden="false" customHeight="false" outlineLevel="0" collapsed="false">
      <c r="A58" s="4" t="s">
        <v>140</v>
      </c>
      <c r="B58" s="4" t="s">
        <v>22</v>
      </c>
      <c r="C58" s="4" t="s">
        <v>23</v>
      </c>
      <c r="D58" s="4" t="s">
        <v>51</v>
      </c>
      <c r="E58" s="4" t="n">
        <v>24.9</v>
      </c>
      <c r="F58" s="17" t="n">
        <v>30000000</v>
      </c>
      <c r="G58" s="17" t="n">
        <v>33071219</v>
      </c>
      <c r="H58" s="18" t="n">
        <v>10.2</v>
      </c>
      <c r="I58" s="4" t="n">
        <v>87</v>
      </c>
      <c r="J58" s="4" t="n">
        <v>0.39</v>
      </c>
      <c r="K58" s="4" t="n">
        <v>0.6</v>
      </c>
      <c r="L58" s="19" t="n">
        <v>0.105884979420048</v>
      </c>
      <c r="M58" s="4" t="n">
        <v>0.07</v>
      </c>
      <c r="N58" s="4" t="s">
        <v>48</v>
      </c>
    </row>
    <row r="59" customFormat="false" ht="14.25" hidden="false" customHeight="false" outlineLevel="0" collapsed="false">
      <c r="A59" s="4" t="s">
        <v>141</v>
      </c>
      <c r="B59" s="4" t="s">
        <v>25</v>
      </c>
      <c r="C59" s="4" t="s">
        <v>29</v>
      </c>
      <c r="D59" s="4" t="s">
        <v>142</v>
      </c>
      <c r="E59" s="4" t="n">
        <v>22.9</v>
      </c>
      <c r="F59" s="17" t="n">
        <v>22000000</v>
      </c>
      <c r="G59" s="17" t="n">
        <v>25537012</v>
      </c>
      <c r="H59" s="18" t="n">
        <v>16.1</v>
      </c>
      <c r="I59" s="4" t="n">
        <v>86</v>
      </c>
      <c r="J59" s="4" t="n">
        <v>0.54</v>
      </c>
      <c r="K59" s="4" t="n">
        <v>0.59</v>
      </c>
      <c r="L59" s="19" t="n">
        <v>0.130210421848329</v>
      </c>
      <c r="M59" s="4" t="n">
        <v>0.54</v>
      </c>
      <c r="N59" s="4" t="s">
        <v>48</v>
      </c>
    </row>
    <row r="60" customFormat="false" ht="14.25" hidden="false" customHeight="false" outlineLevel="0" collapsed="false">
      <c r="A60" s="4" t="s">
        <v>143</v>
      </c>
      <c r="B60" s="4" t="s">
        <v>22</v>
      </c>
      <c r="C60" s="4" t="s">
        <v>29</v>
      </c>
      <c r="D60" s="4" t="s">
        <v>74</v>
      </c>
      <c r="E60" s="4" t="n">
        <v>22.7</v>
      </c>
      <c r="F60" s="17" t="n">
        <v>42000000</v>
      </c>
      <c r="G60" s="17" t="n">
        <v>49339610</v>
      </c>
      <c r="H60" s="18" t="n">
        <v>17.5</v>
      </c>
      <c r="I60" s="4" t="n">
        <v>72</v>
      </c>
      <c r="J60" s="4" t="n">
        <v>0.56</v>
      </c>
      <c r="K60" s="4" t="n">
        <v>0.64</v>
      </c>
      <c r="L60" s="19" t="n">
        <v>0.117997719455668</v>
      </c>
      <c r="M60" s="4" t="n">
        <v>0.03</v>
      </c>
      <c r="N60" s="4" t="s">
        <v>48</v>
      </c>
    </row>
    <row r="61" customFormat="false" ht="14.25" hidden="false" customHeight="false" outlineLevel="0" collapsed="false">
      <c r="A61" s="4" t="s">
        <v>144</v>
      </c>
      <c r="B61" s="4" t="s">
        <v>25</v>
      </c>
      <c r="C61" s="4" t="s">
        <v>53</v>
      </c>
      <c r="D61" s="4" t="s">
        <v>102</v>
      </c>
      <c r="E61" s="4" t="n">
        <v>21.2</v>
      </c>
      <c r="F61" s="17" t="n">
        <v>5000000</v>
      </c>
      <c r="G61" s="17" t="n">
        <v>11164756</v>
      </c>
      <c r="H61" s="18" t="n">
        <v>123.3</v>
      </c>
      <c r="I61" s="4" t="n">
        <v>59</v>
      </c>
      <c r="J61" s="4" t="n">
        <v>0.67</v>
      </c>
      <c r="K61" s="4" t="n">
        <v>0.93</v>
      </c>
      <c r="L61" s="19" t="n">
        <v>0.26200414369644</v>
      </c>
      <c r="M61" s="4" t="n">
        <v>0.4</v>
      </c>
      <c r="N61" s="4" t="s">
        <v>48</v>
      </c>
    </row>
    <row r="62" customFormat="false" ht="14.25" hidden="false" customHeight="false" outlineLevel="0" collapsed="false">
      <c r="A62" s="4" t="s">
        <v>145</v>
      </c>
      <c r="B62" s="4" t="s">
        <v>28</v>
      </c>
      <c r="C62" s="4" t="s">
        <v>29</v>
      </c>
      <c r="D62" s="4" t="s">
        <v>142</v>
      </c>
      <c r="E62" s="4" t="n">
        <v>20.5</v>
      </c>
      <c r="F62" s="17" t="n">
        <v>15000000</v>
      </c>
      <c r="G62" s="17" t="n">
        <v>31605184</v>
      </c>
      <c r="H62" s="18" t="n">
        <v>110.7</v>
      </c>
      <c r="I62" s="4" t="n">
        <v>50</v>
      </c>
      <c r="J62" s="4" t="n">
        <v>0.73</v>
      </c>
      <c r="K62" s="4" t="n">
        <v>0.87</v>
      </c>
      <c r="L62" s="19" t="n">
        <v>0.142376631528615</v>
      </c>
      <c r="M62" s="4" t="n">
        <v>0.22</v>
      </c>
      <c r="N62" s="4" t="s">
        <v>48</v>
      </c>
    </row>
    <row r="63" customFormat="false" ht="14.25" hidden="false" customHeight="false" outlineLevel="0" collapsed="false">
      <c r="A63" s="4" t="s">
        <v>146</v>
      </c>
      <c r="B63" s="4" t="s">
        <v>25</v>
      </c>
      <c r="C63" s="4" t="s">
        <v>26</v>
      </c>
      <c r="D63" s="4" t="s">
        <v>147</v>
      </c>
      <c r="E63" s="4" t="n">
        <v>24.6</v>
      </c>
      <c r="F63" s="17" t="n">
        <v>7500000</v>
      </c>
      <c r="G63" s="17" t="n">
        <v>9388030</v>
      </c>
      <c r="H63" s="18" t="n">
        <v>25.2</v>
      </c>
      <c r="I63" s="4" t="n">
        <v>96</v>
      </c>
      <c r="J63" s="4" t="n">
        <v>0.42</v>
      </c>
      <c r="K63" s="4" t="n">
        <v>0.62</v>
      </c>
      <c r="L63" s="19" t="n">
        <v>0.121671119936154</v>
      </c>
      <c r="M63" s="4" t="n">
        <v>0.79</v>
      </c>
      <c r="N63" s="4" t="s">
        <v>48</v>
      </c>
    </row>
    <row r="64" customFormat="false" ht="14.25" hidden="false" customHeight="false" outlineLevel="0" collapsed="false">
      <c r="A64" s="4" t="s">
        <v>148</v>
      </c>
      <c r="B64" s="4" t="s">
        <v>28</v>
      </c>
      <c r="C64" s="4" t="s">
        <v>26</v>
      </c>
      <c r="D64" s="4" t="s">
        <v>149</v>
      </c>
      <c r="E64" s="4" t="n">
        <v>25.5</v>
      </c>
      <c r="F64" s="17" t="n">
        <v>17000000</v>
      </c>
      <c r="G64" s="17" t="n">
        <v>19876693</v>
      </c>
      <c r="H64" s="18" t="n">
        <v>16.9</v>
      </c>
      <c r="I64" s="4" t="n">
        <v>98</v>
      </c>
      <c r="J64" s="4" t="n">
        <v>0.34</v>
      </c>
      <c r="K64" s="4" t="n">
        <v>0.63</v>
      </c>
      <c r="L64" s="19" t="n">
        <v>0.158238561349314</v>
      </c>
      <c r="M64" s="4" t="n">
        <v>0.63</v>
      </c>
      <c r="N64" s="4" t="s">
        <v>48</v>
      </c>
    </row>
    <row r="65" customFormat="false" ht="14.25" hidden="false" customHeight="false" outlineLevel="0" collapsed="false">
      <c r="A65" s="4" t="s">
        <v>150</v>
      </c>
      <c r="B65" s="4" t="s">
        <v>22</v>
      </c>
      <c r="C65" s="4" t="s">
        <v>29</v>
      </c>
      <c r="D65" s="4" t="s">
        <v>151</v>
      </c>
      <c r="E65" s="4" t="n">
        <v>25.1</v>
      </c>
      <c r="F65" s="17" t="n">
        <v>25000000</v>
      </c>
      <c r="G65" s="17" t="n">
        <v>27950038</v>
      </c>
      <c r="H65" s="18" t="n">
        <v>11.8</v>
      </c>
      <c r="I65" s="4" t="n">
        <v>88</v>
      </c>
      <c r="J65" s="4" t="n">
        <v>0.38</v>
      </c>
      <c r="K65" s="4" t="n">
        <v>0.6</v>
      </c>
      <c r="L65" s="19" t="n">
        <v>0.183124195935827</v>
      </c>
      <c r="M65" s="4" t="n">
        <v>0.03</v>
      </c>
      <c r="N65" s="4" t="s">
        <v>48</v>
      </c>
    </row>
    <row r="66" customFormat="false" ht="14.25" hidden="false" customHeight="false" outlineLevel="0" collapsed="false">
      <c r="A66" s="4" t="s">
        <v>152</v>
      </c>
      <c r="B66" s="4" t="s">
        <v>22</v>
      </c>
      <c r="C66" s="4" t="s">
        <v>53</v>
      </c>
      <c r="D66" s="4" t="s">
        <v>153</v>
      </c>
      <c r="E66" s="4" t="n">
        <v>25.3</v>
      </c>
      <c r="F66" s="17" t="n">
        <v>5000000</v>
      </c>
      <c r="G66" s="17" t="n">
        <v>10594586</v>
      </c>
      <c r="H66" s="18" t="n">
        <v>111.9</v>
      </c>
      <c r="I66" s="4" t="n">
        <v>76</v>
      </c>
      <c r="J66" s="4" t="n">
        <v>0.36</v>
      </c>
      <c r="K66" s="4" t="n">
        <v>0.95</v>
      </c>
      <c r="L66" s="19" t="n">
        <v>0.319948038255794</v>
      </c>
      <c r="M66" s="4" t="n">
        <v>0.12</v>
      </c>
      <c r="N66" s="4" t="s">
        <v>48</v>
      </c>
    </row>
    <row r="67" customFormat="false" ht="14.25" hidden="false" customHeight="false" outlineLevel="0" collapsed="false">
      <c r="A67" s="4" t="s">
        <v>154</v>
      </c>
      <c r="B67" s="4" t="s">
        <v>25</v>
      </c>
      <c r="C67" s="4" t="s">
        <v>29</v>
      </c>
      <c r="D67" s="4" t="s">
        <v>79</v>
      </c>
      <c r="E67" s="4" t="n">
        <v>22.3</v>
      </c>
      <c r="F67" s="17" t="n">
        <v>42000000</v>
      </c>
      <c r="G67" s="17" t="n">
        <v>24734290</v>
      </c>
      <c r="H67" s="18" t="n">
        <v>-41.1</v>
      </c>
      <c r="I67" s="4" t="n">
        <v>95</v>
      </c>
      <c r="J67" s="4" t="n">
        <v>0.59</v>
      </c>
      <c r="K67" s="4" t="n">
        <v>0.27</v>
      </c>
      <c r="L67" s="19" t="n">
        <v>0.0499957588672196</v>
      </c>
      <c r="M67" s="4" t="n">
        <v>0.54</v>
      </c>
      <c r="N67" s="4" t="s">
        <v>59</v>
      </c>
    </row>
    <row r="68" customFormat="false" ht="14.25" hidden="false" customHeight="false" outlineLevel="0" collapsed="false">
      <c r="A68" s="4" t="s">
        <v>155</v>
      </c>
      <c r="B68" s="4" t="s">
        <v>22</v>
      </c>
      <c r="C68" s="4" t="s">
        <v>29</v>
      </c>
      <c r="D68" s="4" t="s">
        <v>72</v>
      </c>
      <c r="E68" s="4" t="n">
        <v>23.3</v>
      </c>
      <c r="F68" s="17" t="n">
        <v>50000000</v>
      </c>
      <c r="G68" s="17" t="n">
        <v>44212403</v>
      </c>
      <c r="H68" s="18" t="n">
        <v>-11.6</v>
      </c>
      <c r="I68" s="4" t="n">
        <v>84</v>
      </c>
      <c r="J68" s="4" t="n">
        <v>0.52</v>
      </c>
      <c r="K68" s="4" t="n">
        <v>0.43</v>
      </c>
      <c r="L68" s="19" t="n">
        <v>0.11552871619417</v>
      </c>
      <c r="M68" s="4" t="n">
        <v>0.03</v>
      </c>
      <c r="N68" s="4" t="s">
        <v>59</v>
      </c>
    </row>
    <row r="69" customFormat="false" ht="14.25" hidden="false" customHeight="false" outlineLevel="0" collapsed="false">
      <c r="A69" s="4" t="s">
        <v>156</v>
      </c>
      <c r="B69" s="4" t="s">
        <v>25</v>
      </c>
      <c r="C69" s="4" t="s">
        <v>29</v>
      </c>
      <c r="D69" s="4" t="s">
        <v>157</v>
      </c>
      <c r="E69" s="4" t="n">
        <v>22.9</v>
      </c>
      <c r="F69" s="17" t="n">
        <v>75000000</v>
      </c>
      <c r="G69" s="17" t="n">
        <v>42776626</v>
      </c>
      <c r="H69" s="18" t="n">
        <v>-43</v>
      </c>
      <c r="I69" s="4" t="n">
        <v>98</v>
      </c>
      <c r="J69" s="4" t="n">
        <v>0.54</v>
      </c>
      <c r="K69" s="4" t="n">
        <v>0.25</v>
      </c>
      <c r="L69" s="19" t="n">
        <v>0.0336762667081787</v>
      </c>
      <c r="M69" s="4" t="n">
        <v>0.54</v>
      </c>
      <c r="N69" s="4" t="s">
        <v>59</v>
      </c>
    </row>
    <row r="70" customFormat="false" ht="14.25" hidden="false" customHeight="false" outlineLevel="0" collapsed="false">
      <c r="A70" s="4" t="s">
        <v>158</v>
      </c>
      <c r="B70" s="4" t="s">
        <v>25</v>
      </c>
      <c r="C70" s="4" t="s">
        <v>26</v>
      </c>
      <c r="D70" s="4" t="s">
        <v>149</v>
      </c>
      <c r="E70" s="4" t="n">
        <v>25.4</v>
      </c>
      <c r="F70" s="17" t="n">
        <v>30000000</v>
      </c>
      <c r="G70" s="17" t="n">
        <v>29351597</v>
      </c>
      <c r="H70" s="18" t="n">
        <v>-2.2</v>
      </c>
      <c r="I70" s="4" t="n">
        <v>100</v>
      </c>
      <c r="J70" s="4" t="n">
        <v>0.36</v>
      </c>
      <c r="K70" s="4" t="n">
        <v>0.52</v>
      </c>
      <c r="L70" s="19" t="n">
        <v>0.0451815960823105</v>
      </c>
      <c r="M70" s="4" t="n">
        <v>0.79</v>
      </c>
      <c r="N70" s="4" t="s">
        <v>59</v>
      </c>
    </row>
    <row r="71" customFormat="false" ht="14.25" hidden="false" customHeight="false" outlineLevel="0" collapsed="false">
      <c r="A71" s="4" t="s">
        <v>159</v>
      </c>
      <c r="B71" s="4" t="s">
        <v>25</v>
      </c>
      <c r="C71" s="4" t="s">
        <v>29</v>
      </c>
      <c r="D71" s="4" t="s">
        <v>89</v>
      </c>
      <c r="E71" s="4" t="n">
        <v>21.8</v>
      </c>
      <c r="F71" s="17" t="n">
        <v>55000000</v>
      </c>
      <c r="G71" s="17" t="n">
        <v>27623915</v>
      </c>
      <c r="H71" s="18" t="n">
        <v>-49.8</v>
      </c>
      <c r="I71" s="4" t="n">
        <v>96</v>
      </c>
      <c r="J71" s="4" t="n">
        <v>0.63</v>
      </c>
      <c r="K71" s="4" t="n">
        <v>0.18</v>
      </c>
      <c r="L71" s="19" t="n">
        <v>0.0508582614472398</v>
      </c>
      <c r="M71" s="4" t="n">
        <v>0.54</v>
      </c>
      <c r="N71" s="4" t="s">
        <v>59</v>
      </c>
    </row>
    <row r="72" customFormat="false" ht="14.25" hidden="false" customHeight="false" outlineLevel="0" collapsed="false">
      <c r="A72" s="4" t="s">
        <v>160</v>
      </c>
      <c r="B72" s="4" t="s">
        <v>22</v>
      </c>
      <c r="C72" s="4" t="s">
        <v>23</v>
      </c>
      <c r="D72" s="4" t="s">
        <v>91</v>
      </c>
      <c r="E72" s="4" t="n">
        <v>23.5</v>
      </c>
      <c r="F72" s="17" t="n">
        <v>40000000</v>
      </c>
      <c r="G72" s="17" t="n">
        <v>24761162</v>
      </c>
      <c r="H72" s="18" t="n">
        <v>-38.1</v>
      </c>
      <c r="I72" s="4" t="n">
        <v>97</v>
      </c>
      <c r="J72" s="4" t="n">
        <v>0.5</v>
      </c>
      <c r="K72" s="4" t="n">
        <v>0.22</v>
      </c>
      <c r="L72" s="19" t="n">
        <v>0.116892891795583</v>
      </c>
      <c r="M72" s="4" t="n">
        <v>0.07</v>
      </c>
      <c r="N72" s="4" t="s">
        <v>59</v>
      </c>
    </row>
    <row r="73" customFormat="false" ht="14.25" hidden="false" customHeight="false" outlineLevel="0" collapsed="false">
      <c r="A73" s="4" t="s">
        <v>161</v>
      </c>
      <c r="B73" s="4" t="s">
        <v>22</v>
      </c>
      <c r="C73" s="4" t="s">
        <v>53</v>
      </c>
      <c r="D73" s="4" t="s">
        <v>131</v>
      </c>
      <c r="E73" s="4" t="n">
        <v>25.9</v>
      </c>
      <c r="F73" s="17" t="n">
        <v>75000000</v>
      </c>
      <c r="G73" s="17" t="n">
        <v>62573118</v>
      </c>
      <c r="H73" s="18" t="n">
        <v>-16.6</v>
      </c>
      <c r="I73" s="4" t="n">
        <v>98</v>
      </c>
      <c r="J73" s="4" t="n">
        <v>0.32</v>
      </c>
      <c r="K73" s="4" t="n">
        <v>0.38</v>
      </c>
      <c r="L73" s="19" t="n">
        <v>0.0267312937495972</v>
      </c>
      <c r="M73" s="4" t="n">
        <v>0.12</v>
      </c>
      <c r="N73" s="4" t="s">
        <v>59</v>
      </c>
    </row>
    <row r="74" customFormat="false" ht="14.25" hidden="false" customHeight="false" outlineLevel="0" collapsed="false">
      <c r="A74" s="4" t="s">
        <v>162</v>
      </c>
      <c r="B74" s="4" t="s">
        <v>25</v>
      </c>
      <c r="C74" s="4" t="s">
        <v>26</v>
      </c>
      <c r="D74" s="4" t="s">
        <v>163</v>
      </c>
      <c r="E74" s="4" t="n">
        <v>20.5</v>
      </c>
      <c r="F74" s="17" t="n">
        <v>8000000</v>
      </c>
      <c r="G74" s="17" t="n">
        <v>9459611</v>
      </c>
      <c r="H74" s="18" t="n">
        <v>18.2</v>
      </c>
      <c r="I74" s="4" t="n">
        <v>73</v>
      </c>
      <c r="J74" s="4" t="n">
        <v>0.73</v>
      </c>
      <c r="K74" s="4" t="n">
        <v>0.59</v>
      </c>
      <c r="L74" s="19" t="n">
        <v>0.156270408797835</v>
      </c>
      <c r="M74" s="4" t="n">
        <v>0.79</v>
      </c>
      <c r="N74" s="4" t="s">
        <v>48</v>
      </c>
    </row>
    <row r="75" customFormat="false" ht="14.25" hidden="false" customHeight="false" outlineLevel="0" collapsed="false">
      <c r="A75" s="4" t="s">
        <v>164</v>
      </c>
      <c r="B75" s="4" t="s">
        <v>22</v>
      </c>
      <c r="C75" s="4" t="s">
        <v>29</v>
      </c>
      <c r="D75" s="4" t="s">
        <v>165</v>
      </c>
      <c r="E75" s="4" t="n">
        <v>23.3</v>
      </c>
      <c r="F75" s="17" t="n">
        <v>150000000</v>
      </c>
      <c r="G75" s="17" t="n">
        <v>91934007</v>
      </c>
      <c r="H75" s="18" t="n">
        <v>-38.7</v>
      </c>
      <c r="I75" s="4" t="n">
        <v>93</v>
      </c>
      <c r="J75" s="4" t="n">
        <v>0.51</v>
      </c>
      <c r="K75" s="4" t="n">
        <v>0.21</v>
      </c>
      <c r="L75" s="19" t="n">
        <v>0.0546242768842121</v>
      </c>
      <c r="M75" s="4" t="n">
        <v>0.03</v>
      </c>
      <c r="N75" s="4" t="s">
        <v>59</v>
      </c>
    </row>
    <row r="76" customFormat="false" ht="14.25" hidden="false" customHeight="false" outlineLevel="0" collapsed="false">
      <c r="A76" s="4" t="s">
        <v>166</v>
      </c>
      <c r="B76" s="4" t="s">
        <v>22</v>
      </c>
      <c r="C76" s="4" t="s">
        <v>29</v>
      </c>
      <c r="D76" s="4" t="s">
        <v>61</v>
      </c>
      <c r="E76" s="4" t="n">
        <v>25.4</v>
      </c>
      <c r="F76" s="17" t="n">
        <v>55000000</v>
      </c>
      <c r="G76" s="17" t="n">
        <v>57889777</v>
      </c>
      <c r="H76" s="18" t="n">
        <v>5.3</v>
      </c>
      <c r="I76" s="4" t="n">
        <v>84</v>
      </c>
      <c r="J76" s="4" t="n">
        <v>0.35</v>
      </c>
      <c r="K76" s="4" t="n">
        <v>0.56</v>
      </c>
      <c r="L76" s="19" t="n">
        <v>0.0481509764181197</v>
      </c>
      <c r="M76" s="4" t="n">
        <v>0.03</v>
      </c>
      <c r="N76" s="4" t="s">
        <v>48</v>
      </c>
    </row>
    <row r="77" customFormat="false" ht="14.25" hidden="false" customHeight="false" outlineLevel="0" collapsed="false">
      <c r="A77" s="4" t="s">
        <v>167</v>
      </c>
      <c r="B77" s="4" t="s">
        <v>22</v>
      </c>
      <c r="C77" s="4" t="s">
        <v>23</v>
      </c>
      <c r="D77" s="4" t="s">
        <v>91</v>
      </c>
      <c r="E77" s="4" t="n">
        <v>19.6</v>
      </c>
      <c r="F77" s="17" t="n">
        <v>90000000</v>
      </c>
      <c r="G77" s="17" t="n">
        <v>32889832</v>
      </c>
      <c r="H77" s="18" t="n">
        <v>-63.5</v>
      </c>
      <c r="I77" s="4" t="n">
        <v>83</v>
      </c>
      <c r="J77" s="4" t="n">
        <v>0.8</v>
      </c>
      <c r="K77" s="4" t="n">
        <v>0.05</v>
      </c>
      <c r="L77" s="19" t="n">
        <v>0.0570594056273049</v>
      </c>
      <c r="M77" s="4" t="n">
        <v>0.07</v>
      </c>
      <c r="N77" s="4" t="s">
        <v>59</v>
      </c>
    </row>
    <row r="78" customFormat="false" ht="14.25" hidden="false" customHeight="false" outlineLevel="0" collapsed="false">
      <c r="A78" s="4" t="s">
        <v>168</v>
      </c>
      <c r="B78" s="4" t="s">
        <v>22</v>
      </c>
      <c r="C78" s="4" t="s">
        <v>26</v>
      </c>
      <c r="D78" s="4" t="s">
        <v>169</v>
      </c>
      <c r="E78" s="4" t="n">
        <v>24.9</v>
      </c>
      <c r="F78" s="17" t="n">
        <v>35000000</v>
      </c>
      <c r="G78" s="17" t="n">
        <v>44740816</v>
      </c>
      <c r="H78" s="18" t="n">
        <v>27.8</v>
      </c>
      <c r="I78" s="4" t="n">
        <v>81</v>
      </c>
      <c r="J78" s="4" t="n">
        <v>0.39</v>
      </c>
      <c r="K78" s="4" t="n">
        <v>0.68</v>
      </c>
      <c r="L78" s="19" t="n">
        <v>0.144661496136337</v>
      </c>
      <c r="M78" s="4" t="n">
        <v>0.16</v>
      </c>
      <c r="N78" s="4" t="s">
        <v>48</v>
      </c>
    </row>
    <row r="79" customFormat="false" ht="14.25" hidden="false" customHeight="false" outlineLevel="0" collapsed="false">
      <c r="A79" s="4" t="s">
        <v>170</v>
      </c>
      <c r="B79" s="4" t="s">
        <v>25</v>
      </c>
      <c r="C79" s="4" t="s">
        <v>26</v>
      </c>
      <c r="D79" s="4" t="s">
        <v>100</v>
      </c>
      <c r="E79" s="4" t="n">
        <v>25.5</v>
      </c>
      <c r="F79" s="17" t="n">
        <v>5000000</v>
      </c>
      <c r="G79" s="17" t="n">
        <v>11352260</v>
      </c>
      <c r="H79" s="18" t="n">
        <v>127</v>
      </c>
      <c r="I79" s="4" t="n">
        <v>83</v>
      </c>
      <c r="J79" s="4" t="n">
        <v>0.34</v>
      </c>
      <c r="K79" s="4" t="n">
        <v>0.93</v>
      </c>
      <c r="L79" s="19" t="n">
        <v>0.221554973871097</v>
      </c>
      <c r="M79" s="4" t="n">
        <v>0.79</v>
      </c>
      <c r="N79" s="4" t="s">
        <v>48</v>
      </c>
    </row>
    <row r="80" customFormat="false" ht="14.25" hidden="false" customHeight="false" outlineLevel="0" collapsed="false">
      <c r="A80" s="4" t="s">
        <v>171</v>
      </c>
      <c r="B80" s="4" t="s">
        <v>22</v>
      </c>
      <c r="C80" s="4" t="s">
        <v>106</v>
      </c>
      <c r="D80" s="4" t="s">
        <v>107</v>
      </c>
      <c r="E80" s="4" t="n">
        <v>24.8</v>
      </c>
      <c r="F80" s="17" t="n">
        <v>40000000</v>
      </c>
      <c r="G80" s="17" t="n">
        <v>32108380</v>
      </c>
      <c r="H80" s="18" t="n">
        <v>-19.7</v>
      </c>
      <c r="I80" s="4" t="n">
        <v>99</v>
      </c>
      <c r="J80" s="4" t="n">
        <v>0.4</v>
      </c>
      <c r="K80" s="4" t="n">
        <v>0.36</v>
      </c>
      <c r="L80" s="19" t="n">
        <v>0.129095468198684</v>
      </c>
      <c r="M80" s="4" t="n">
        <v>0.28</v>
      </c>
      <c r="N80" s="4" t="s">
        <v>59</v>
      </c>
    </row>
    <row r="81" customFormat="false" ht="14.25" hidden="false" customHeight="false" outlineLevel="0" collapsed="false">
      <c r="A81" s="4" t="s">
        <v>172</v>
      </c>
      <c r="B81" s="4" t="s">
        <v>28</v>
      </c>
      <c r="C81" s="4" t="s">
        <v>23</v>
      </c>
      <c r="D81" s="4" t="s">
        <v>98</v>
      </c>
      <c r="E81" s="4" t="n">
        <v>21.4</v>
      </c>
      <c r="F81" s="17" t="n">
        <v>10000000</v>
      </c>
      <c r="G81" s="17" t="n">
        <v>10306005</v>
      </c>
      <c r="H81" s="18" t="n">
        <v>3.1</v>
      </c>
      <c r="I81" s="4" t="n">
        <v>78</v>
      </c>
      <c r="J81" s="4" t="n">
        <v>0.66</v>
      </c>
      <c r="K81" s="4" t="n">
        <v>0.57</v>
      </c>
      <c r="L81" s="19" t="n">
        <v>0.214048612955046</v>
      </c>
      <c r="M81" s="4" t="n">
        <v>0.69</v>
      </c>
      <c r="N81" s="4" t="s">
        <v>59</v>
      </c>
    </row>
    <row r="82" customFormat="false" ht="14.25" hidden="false" customHeight="false" outlineLevel="0" collapsed="false">
      <c r="A82" s="4" t="s">
        <v>173</v>
      </c>
      <c r="B82" s="4" t="s">
        <v>22</v>
      </c>
      <c r="C82" s="4" t="s">
        <v>26</v>
      </c>
      <c r="D82" s="4" t="s">
        <v>126</v>
      </c>
      <c r="E82" s="4" t="n">
        <v>25.7</v>
      </c>
      <c r="F82" s="17" t="n">
        <v>45000000</v>
      </c>
      <c r="G82" s="17" t="n">
        <v>35346979</v>
      </c>
      <c r="H82" s="18" t="n">
        <v>-21.5</v>
      </c>
      <c r="I82" s="4" t="n">
        <v>99</v>
      </c>
      <c r="J82" s="4" t="n">
        <v>0.33</v>
      </c>
      <c r="K82" s="4" t="n">
        <v>0.34</v>
      </c>
      <c r="L82" s="19" t="n">
        <v>0.0335953315538789</v>
      </c>
      <c r="M82" s="4" t="n">
        <v>0.16</v>
      </c>
      <c r="N82" s="4" t="s">
        <v>59</v>
      </c>
    </row>
    <row r="83" customFormat="false" ht="14.25" hidden="false" customHeight="false" outlineLevel="0" collapsed="false">
      <c r="A83" s="4" t="s">
        <v>174</v>
      </c>
      <c r="B83" s="4" t="s">
        <v>22</v>
      </c>
      <c r="C83" s="4" t="s">
        <v>23</v>
      </c>
      <c r="D83" s="4" t="s">
        <v>47</v>
      </c>
      <c r="E83" s="4" t="n">
        <v>23.9</v>
      </c>
      <c r="F83" s="17" t="n">
        <v>10000000</v>
      </c>
      <c r="G83" s="17" t="n">
        <v>17240326</v>
      </c>
      <c r="H83" s="18" t="n">
        <v>72.4</v>
      </c>
      <c r="I83" s="4" t="n">
        <v>64</v>
      </c>
      <c r="J83" s="4" t="n">
        <v>0.47</v>
      </c>
      <c r="K83" s="4" t="n">
        <v>0.81</v>
      </c>
      <c r="L83" s="19" t="n">
        <v>0.130395417967237</v>
      </c>
      <c r="M83" s="4" t="n">
        <v>0.07</v>
      </c>
      <c r="N83" s="4" t="s">
        <v>48</v>
      </c>
    </row>
    <row r="84" customFormat="false" ht="14.25" hidden="false" customHeight="false" outlineLevel="0" collapsed="false">
      <c r="A84" s="4" t="s">
        <v>175</v>
      </c>
      <c r="B84" s="4" t="s">
        <v>28</v>
      </c>
      <c r="C84" s="4" t="s">
        <v>23</v>
      </c>
      <c r="D84" s="4" t="s">
        <v>65</v>
      </c>
      <c r="E84" s="4" t="n">
        <v>23</v>
      </c>
      <c r="F84" s="17" t="n">
        <v>25000000</v>
      </c>
      <c r="G84" s="17" t="n">
        <v>17630801</v>
      </c>
      <c r="H84" s="18" t="n">
        <v>-29.5</v>
      </c>
      <c r="I84" s="4" t="n">
        <v>92</v>
      </c>
      <c r="J84" s="4" t="n">
        <v>0.53</v>
      </c>
      <c r="K84" s="4" t="n">
        <v>0.37</v>
      </c>
      <c r="L84" s="19" t="n">
        <v>0.0618328860181249</v>
      </c>
      <c r="M84" s="4" t="n">
        <v>0.69</v>
      </c>
      <c r="N84" s="4" t="s">
        <v>59</v>
      </c>
    </row>
    <row r="85" customFormat="false" ht="14.25" hidden="false" customHeight="false" outlineLevel="0" collapsed="false">
      <c r="A85" s="4" t="s">
        <v>176</v>
      </c>
      <c r="B85" s="4" t="s">
        <v>25</v>
      </c>
      <c r="C85" s="4" t="s">
        <v>29</v>
      </c>
      <c r="D85" s="4" t="s">
        <v>74</v>
      </c>
      <c r="E85" s="4" t="n">
        <v>22.5</v>
      </c>
      <c r="F85" s="17" t="n">
        <v>55000000</v>
      </c>
      <c r="G85" s="17" t="n">
        <v>25875335</v>
      </c>
      <c r="H85" s="18" t="n">
        <v>-53</v>
      </c>
      <c r="I85" s="4" t="n">
        <v>97</v>
      </c>
      <c r="J85" s="4" t="n">
        <v>0.58</v>
      </c>
      <c r="K85" s="4" t="n">
        <v>0.17</v>
      </c>
      <c r="L85" s="19" t="n">
        <v>0.0422683801022679</v>
      </c>
      <c r="M85" s="4" t="n">
        <v>0.54</v>
      </c>
      <c r="N85" s="4" t="s">
        <v>59</v>
      </c>
    </row>
    <row r="86" customFormat="false" ht="14.25" hidden="false" customHeight="false" outlineLevel="0" collapsed="false">
      <c r="A86" s="4" t="s">
        <v>177</v>
      </c>
      <c r="B86" s="4" t="s">
        <v>25</v>
      </c>
      <c r="C86" s="4" t="s">
        <v>26</v>
      </c>
      <c r="D86" s="4" t="s">
        <v>178</v>
      </c>
      <c r="E86" s="4" t="n">
        <v>26.1</v>
      </c>
      <c r="F86" s="17" t="n">
        <v>3000000</v>
      </c>
      <c r="G86" s="17" t="n">
        <v>9665222</v>
      </c>
      <c r="H86" s="18" t="n">
        <v>222.2</v>
      </c>
      <c r="I86" s="4" t="n">
        <v>87</v>
      </c>
      <c r="J86" s="4" t="n">
        <v>0.3</v>
      </c>
      <c r="K86" s="4" t="n">
        <v>0.93</v>
      </c>
      <c r="L86" s="19" t="n">
        <v>0.298950948069941</v>
      </c>
      <c r="M86" s="4" t="n">
        <v>0.79</v>
      </c>
      <c r="N86" s="4" t="s">
        <v>48</v>
      </c>
    </row>
    <row r="87" customFormat="false" ht="14.25" hidden="false" customHeight="false" outlineLevel="0" collapsed="false">
      <c r="A87" s="4" t="s">
        <v>179</v>
      </c>
      <c r="B87" s="4" t="s">
        <v>25</v>
      </c>
      <c r="C87" s="4" t="s">
        <v>26</v>
      </c>
      <c r="D87" s="4" t="s">
        <v>180</v>
      </c>
      <c r="E87" s="4" t="n">
        <v>25</v>
      </c>
      <c r="F87" s="17" t="n">
        <v>4300000</v>
      </c>
      <c r="G87" s="17" t="n">
        <v>10118280</v>
      </c>
      <c r="H87" s="18" t="n">
        <v>135.3</v>
      </c>
      <c r="I87" s="4" t="n">
        <v>77</v>
      </c>
      <c r="J87" s="4" t="n">
        <v>0.39</v>
      </c>
      <c r="K87" s="4" t="n">
        <v>0.93</v>
      </c>
      <c r="L87" s="19" t="n">
        <v>0.197103323082694</v>
      </c>
      <c r="M87" s="4" t="n">
        <v>0.79</v>
      </c>
      <c r="N87" s="4" t="s">
        <v>48</v>
      </c>
    </row>
    <row r="88" customFormat="false" ht="14.25" hidden="false" customHeight="false" outlineLevel="0" collapsed="false">
      <c r="A88" s="4" t="s">
        <v>181</v>
      </c>
      <c r="B88" s="4" t="s">
        <v>22</v>
      </c>
      <c r="C88" s="4" t="s">
        <v>29</v>
      </c>
      <c r="D88" s="4" t="s">
        <v>89</v>
      </c>
      <c r="E88" s="4" t="n">
        <v>23.5</v>
      </c>
      <c r="F88" s="17" t="n">
        <v>50000000</v>
      </c>
      <c r="G88" s="17" t="n">
        <v>56959806</v>
      </c>
      <c r="H88" s="18" t="n">
        <v>13.9</v>
      </c>
      <c r="I88" s="4" t="n">
        <v>71</v>
      </c>
      <c r="J88" s="4" t="n">
        <v>0.5</v>
      </c>
      <c r="K88" s="4" t="n">
        <v>0.62</v>
      </c>
      <c r="L88" s="19" t="n">
        <v>0.130985478542082</v>
      </c>
      <c r="M88" s="4" t="n">
        <v>0.03</v>
      </c>
      <c r="N88" s="4" t="s">
        <v>48</v>
      </c>
    </row>
    <row r="89" customFormat="false" ht="14.25" hidden="false" customHeight="false" outlineLevel="0" collapsed="false">
      <c r="A89" s="4" t="s">
        <v>182</v>
      </c>
      <c r="B89" s="4" t="s">
        <v>28</v>
      </c>
      <c r="C89" s="4" t="s">
        <v>29</v>
      </c>
      <c r="D89" s="4" t="s">
        <v>120</v>
      </c>
      <c r="E89" s="4" t="n">
        <v>26.5</v>
      </c>
      <c r="F89" s="17" t="n">
        <v>55000000</v>
      </c>
      <c r="G89" s="17" t="n">
        <v>50001245</v>
      </c>
      <c r="H89" s="18" t="n">
        <v>-9.1</v>
      </c>
      <c r="I89" s="4" t="n">
        <v>94</v>
      </c>
      <c r="J89" s="4" t="n">
        <v>0.27</v>
      </c>
      <c r="K89" s="4" t="n">
        <v>0.51</v>
      </c>
      <c r="L89" s="19" t="n">
        <v>0.0802504175525329</v>
      </c>
      <c r="M89" s="4" t="n">
        <v>0.22</v>
      </c>
      <c r="N89" s="4" t="s">
        <v>59</v>
      </c>
    </row>
    <row r="90" customFormat="false" ht="14.25" hidden="false" customHeight="false" outlineLevel="0" collapsed="false">
      <c r="A90" s="4" t="s">
        <v>183</v>
      </c>
      <c r="B90" s="4" t="s">
        <v>28</v>
      </c>
      <c r="C90" s="4" t="s">
        <v>23</v>
      </c>
      <c r="D90" s="4" t="s">
        <v>91</v>
      </c>
      <c r="E90" s="4" t="n">
        <v>23.9</v>
      </c>
      <c r="F90" s="17" t="n">
        <v>25000000</v>
      </c>
      <c r="G90" s="17" t="n">
        <v>19355941</v>
      </c>
      <c r="H90" s="18" t="n">
        <v>-22.6</v>
      </c>
      <c r="I90" s="4" t="n">
        <v>96</v>
      </c>
      <c r="J90" s="4" t="n">
        <v>0.47</v>
      </c>
      <c r="K90" s="4" t="n">
        <v>0.41</v>
      </c>
      <c r="L90" s="19" t="n">
        <v>0.147213359436867</v>
      </c>
      <c r="M90" s="4" t="n">
        <v>0.69</v>
      </c>
      <c r="N90" s="4" t="s">
        <v>59</v>
      </c>
    </row>
    <row r="91" customFormat="false" ht="14.25" hidden="false" customHeight="false" outlineLevel="0" collapsed="false">
      <c r="A91" s="4" t="s">
        <v>184</v>
      </c>
      <c r="B91" s="4" t="s">
        <v>22</v>
      </c>
      <c r="C91" s="4" t="s">
        <v>53</v>
      </c>
      <c r="D91" s="4" t="s">
        <v>131</v>
      </c>
      <c r="E91" s="4" t="n">
        <v>22.5</v>
      </c>
      <c r="F91" s="17" t="n">
        <v>75000000</v>
      </c>
      <c r="G91" s="17" t="n">
        <v>39644091</v>
      </c>
      <c r="H91" s="18" t="n">
        <v>-47.1</v>
      </c>
      <c r="I91" s="4" t="n">
        <v>89</v>
      </c>
      <c r="J91" s="4" t="n">
        <v>0.57</v>
      </c>
      <c r="K91" s="4" t="n">
        <v>0.16</v>
      </c>
      <c r="L91" s="19" t="n">
        <v>0.0434529108307668</v>
      </c>
      <c r="M91" s="4" t="n">
        <v>0.12</v>
      </c>
      <c r="N91" s="4" t="s">
        <v>59</v>
      </c>
    </row>
    <row r="92" customFormat="false" ht="14.25" hidden="false" customHeight="false" outlineLevel="0" collapsed="false">
      <c r="A92" s="4" t="s">
        <v>185</v>
      </c>
      <c r="B92" s="4" t="s">
        <v>28</v>
      </c>
      <c r="C92" s="4" t="s">
        <v>29</v>
      </c>
      <c r="D92" s="4" t="s">
        <v>137</v>
      </c>
      <c r="E92" s="4" t="n">
        <v>24.7</v>
      </c>
      <c r="F92" s="17" t="n">
        <v>50000000</v>
      </c>
      <c r="G92" s="17" t="n">
        <v>42740190</v>
      </c>
      <c r="H92" s="18" t="n">
        <v>-14.5</v>
      </c>
      <c r="I92" s="4" t="n">
        <v>86</v>
      </c>
      <c r="J92" s="4" t="n">
        <v>0.41</v>
      </c>
      <c r="K92" s="4" t="n">
        <v>0.48</v>
      </c>
      <c r="L92" s="19" t="n">
        <v>0.0916651831315115</v>
      </c>
      <c r="M92" s="4" t="n">
        <v>0.22</v>
      </c>
      <c r="N92" s="4" t="s">
        <v>59</v>
      </c>
    </row>
    <row r="93" customFormat="false" ht="14.25" hidden="false" customHeight="false" outlineLevel="0" collapsed="false">
      <c r="A93" s="4" t="s">
        <v>186</v>
      </c>
      <c r="B93" s="4" t="s">
        <v>25</v>
      </c>
      <c r="C93" s="4" t="s">
        <v>29</v>
      </c>
      <c r="D93" s="4" t="s">
        <v>128</v>
      </c>
      <c r="E93" s="4" t="n">
        <v>25</v>
      </c>
      <c r="F93" s="17" t="n">
        <v>25000000</v>
      </c>
      <c r="G93" s="17" t="n">
        <v>21612682</v>
      </c>
      <c r="H93" s="18" t="n">
        <v>-13.5</v>
      </c>
      <c r="I93" s="4" t="n">
        <v>93</v>
      </c>
      <c r="J93" s="4" t="n">
        <v>0.38</v>
      </c>
      <c r="K93" s="4" t="n">
        <v>0.47</v>
      </c>
      <c r="L93" s="19" t="n">
        <v>0.0981641292511625</v>
      </c>
      <c r="M93" s="4" t="n">
        <v>0.54</v>
      </c>
      <c r="N93" s="4" t="s">
        <v>59</v>
      </c>
    </row>
    <row r="94" customFormat="false" ht="14.25" hidden="false" customHeight="false" outlineLevel="0" collapsed="false">
      <c r="A94" s="4" t="s">
        <v>187</v>
      </c>
      <c r="B94" s="4" t="s">
        <v>22</v>
      </c>
      <c r="C94" s="4" t="s">
        <v>29</v>
      </c>
      <c r="D94" s="4" t="s">
        <v>188</v>
      </c>
      <c r="E94" s="4" t="n">
        <v>25.3</v>
      </c>
      <c r="F94" s="17" t="n">
        <v>120000000</v>
      </c>
      <c r="G94" s="17" t="n">
        <v>80697943</v>
      </c>
      <c r="H94" s="18" t="n">
        <v>-32.8</v>
      </c>
      <c r="I94" s="4" t="n">
        <v>95</v>
      </c>
      <c r="J94" s="4" t="n">
        <v>0.36</v>
      </c>
      <c r="K94" s="4" t="n">
        <v>0.27</v>
      </c>
      <c r="L94" s="19" t="n">
        <v>0.0390619069006078</v>
      </c>
      <c r="M94" s="4" t="n">
        <v>0.03</v>
      </c>
      <c r="N94" s="4" t="s">
        <v>59</v>
      </c>
    </row>
    <row r="95" customFormat="false" ht="14.25" hidden="false" customHeight="false" outlineLevel="0" collapsed="false">
      <c r="A95" s="4" t="s">
        <v>189</v>
      </c>
      <c r="B95" s="4" t="s">
        <v>25</v>
      </c>
      <c r="C95" s="4" t="s">
        <v>23</v>
      </c>
      <c r="D95" s="4" t="s">
        <v>98</v>
      </c>
      <c r="E95" s="4" t="n">
        <v>21.4</v>
      </c>
      <c r="F95" s="17" t="n">
        <v>18000000</v>
      </c>
      <c r="G95" s="17" t="n">
        <v>12426905</v>
      </c>
      <c r="H95" s="18" t="n">
        <v>-31</v>
      </c>
      <c r="I95" s="4" t="n">
        <v>79</v>
      </c>
      <c r="J95" s="4" t="n">
        <v>0.66</v>
      </c>
      <c r="K95" s="4" t="n">
        <v>0.34</v>
      </c>
      <c r="L95" s="19" t="n">
        <v>0.0846350260607016</v>
      </c>
      <c r="M95" s="4" t="n">
        <v>0.47</v>
      </c>
      <c r="N95" s="4" t="s">
        <v>59</v>
      </c>
    </row>
    <row r="96" customFormat="false" ht="14.25" hidden="false" customHeight="false" outlineLevel="0" collapsed="false">
      <c r="A96" s="4" t="s">
        <v>190</v>
      </c>
      <c r="B96" s="4" t="s">
        <v>22</v>
      </c>
      <c r="C96" s="4" t="s">
        <v>29</v>
      </c>
      <c r="D96" s="4" t="s">
        <v>83</v>
      </c>
      <c r="E96" s="4" t="n">
        <v>25.6</v>
      </c>
      <c r="F96" s="17" t="n">
        <v>60000000</v>
      </c>
      <c r="G96" s="17" t="n">
        <v>62191769</v>
      </c>
      <c r="H96" s="18" t="n">
        <v>3.7</v>
      </c>
      <c r="I96" s="4" t="n">
        <v>82</v>
      </c>
      <c r="J96" s="4" t="n">
        <v>0.34</v>
      </c>
      <c r="K96" s="4" t="n">
        <v>0.54</v>
      </c>
      <c r="L96" s="19" t="n">
        <v>0.0944158170619159</v>
      </c>
      <c r="M96" s="4" t="n">
        <v>0.03</v>
      </c>
      <c r="N96" s="4" t="s">
        <v>59</v>
      </c>
    </row>
    <row r="97" customFormat="false" ht="14.25" hidden="false" customHeight="false" outlineLevel="0" collapsed="false">
      <c r="A97" s="4" t="s">
        <v>191</v>
      </c>
      <c r="B97" s="4" t="s">
        <v>25</v>
      </c>
      <c r="C97" s="4" t="s">
        <v>26</v>
      </c>
      <c r="D97" s="4" t="s">
        <v>178</v>
      </c>
      <c r="E97" s="4" t="n">
        <v>25.1</v>
      </c>
      <c r="F97" s="17" t="n">
        <v>6500000</v>
      </c>
      <c r="G97" s="17" t="n">
        <v>8368097</v>
      </c>
      <c r="H97" s="18" t="n">
        <v>28.7</v>
      </c>
      <c r="I97" s="4" t="n">
        <v>90</v>
      </c>
      <c r="J97" s="4" t="n">
        <v>0.37</v>
      </c>
      <c r="K97" s="4" t="n">
        <v>0.63</v>
      </c>
      <c r="L97" s="19" t="n">
        <v>0.141873134358181</v>
      </c>
      <c r="M97" s="4" t="n">
        <v>0.79</v>
      </c>
      <c r="N97" s="4" t="s">
        <v>48</v>
      </c>
    </row>
    <row r="98" customFormat="false" ht="14.25" hidden="false" customHeight="false" outlineLevel="0" collapsed="false">
      <c r="A98" s="4" t="s">
        <v>192</v>
      </c>
      <c r="B98" s="4" t="s">
        <v>28</v>
      </c>
      <c r="C98" s="4" t="s">
        <v>29</v>
      </c>
      <c r="D98" s="4" t="s">
        <v>83</v>
      </c>
      <c r="E98" s="4" t="n">
        <v>26.5</v>
      </c>
      <c r="F98" s="17" t="n">
        <v>18000000</v>
      </c>
      <c r="G98" s="17" t="n">
        <v>24812205</v>
      </c>
      <c r="H98" s="18" t="n">
        <v>37.8</v>
      </c>
      <c r="I98" s="4" t="n">
        <v>90</v>
      </c>
      <c r="J98" s="4" t="n">
        <v>0.27</v>
      </c>
      <c r="K98" s="4" t="n">
        <v>0.73</v>
      </c>
      <c r="L98" s="19" t="n">
        <v>0.354851598620356</v>
      </c>
      <c r="M98" s="4" t="n">
        <v>0.22</v>
      </c>
      <c r="N98" s="4" t="s">
        <v>48</v>
      </c>
    </row>
    <row r="99" customFormat="false" ht="14.25" hidden="false" customHeight="false" outlineLevel="0" collapsed="false">
      <c r="A99" s="4" t="s">
        <v>193</v>
      </c>
      <c r="B99" s="4" t="s">
        <v>28</v>
      </c>
      <c r="C99" s="4" t="s">
        <v>23</v>
      </c>
      <c r="D99" s="4" t="s">
        <v>91</v>
      </c>
      <c r="E99" s="4" t="n">
        <v>20.3</v>
      </c>
      <c r="F99" s="17" t="n">
        <v>80000000</v>
      </c>
      <c r="G99" s="17" t="n">
        <v>16491769</v>
      </c>
      <c r="H99" s="18" t="n">
        <v>-79.4</v>
      </c>
      <c r="I99" s="4" t="n">
        <v>92</v>
      </c>
      <c r="J99" s="4" t="n">
        <v>0.75</v>
      </c>
      <c r="K99" s="4" t="n">
        <v>0.01</v>
      </c>
      <c r="L99" s="19" t="n">
        <v>0.0429695767041506</v>
      </c>
      <c r="M99" s="4" t="n">
        <v>0.69</v>
      </c>
      <c r="N99" s="4" t="s">
        <v>59</v>
      </c>
    </row>
    <row r="100" customFormat="false" ht="14.25" hidden="false" customHeight="false" outlineLevel="0" collapsed="false">
      <c r="A100" s="4" t="s">
        <v>194</v>
      </c>
      <c r="B100" s="4" t="s">
        <v>25</v>
      </c>
      <c r="C100" s="4" t="s">
        <v>29</v>
      </c>
      <c r="D100" s="4" t="s">
        <v>69</v>
      </c>
      <c r="E100" s="4" t="n">
        <v>22</v>
      </c>
      <c r="F100" s="17" t="n">
        <v>15000000</v>
      </c>
      <c r="G100" s="17" t="n">
        <v>18410951</v>
      </c>
      <c r="H100" s="18" t="n">
        <v>22.7</v>
      </c>
      <c r="I100" s="4" t="n">
        <v>70</v>
      </c>
      <c r="J100" s="4" t="n">
        <v>0.61</v>
      </c>
      <c r="K100" s="4" t="n">
        <v>0.61</v>
      </c>
      <c r="L100" s="19" t="n">
        <v>0.17731094066578</v>
      </c>
      <c r="M100" s="4" t="n">
        <v>0.54</v>
      </c>
      <c r="N100" s="4" t="s">
        <v>48</v>
      </c>
    </row>
    <row r="101" customFormat="false" ht="14.25" hidden="false" customHeight="false" outlineLevel="0" collapsed="false">
      <c r="A101" s="4" t="s">
        <v>195</v>
      </c>
      <c r="B101" s="4" t="s">
        <v>28</v>
      </c>
      <c r="C101" s="4" t="s">
        <v>23</v>
      </c>
      <c r="D101" s="4" t="s">
        <v>98</v>
      </c>
      <c r="E101" s="4" t="n">
        <v>20.4</v>
      </c>
      <c r="F101" s="17" t="n">
        <v>18000000</v>
      </c>
      <c r="G101" s="17" t="n">
        <v>13570723</v>
      </c>
      <c r="H101" s="18" t="n">
        <v>-24.6</v>
      </c>
      <c r="I101" s="4" t="n">
        <v>72</v>
      </c>
      <c r="J101" s="4" t="n">
        <v>0.74</v>
      </c>
      <c r="K101" s="4" t="n">
        <v>0.41</v>
      </c>
      <c r="L101" s="19" t="n">
        <v>0.0793173436040841</v>
      </c>
      <c r="M101" s="4" t="n">
        <v>0.69</v>
      </c>
      <c r="N101" s="4" t="s">
        <v>59</v>
      </c>
    </row>
    <row r="102" customFormat="false" ht="14.25" hidden="false" customHeight="false" outlineLevel="0" collapsed="false">
      <c r="A102" s="4" t="s">
        <v>196</v>
      </c>
      <c r="B102" s="4" t="s">
        <v>25</v>
      </c>
      <c r="C102" s="4" t="s">
        <v>26</v>
      </c>
      <c r="D102" s="4" t="s">
        <v>87</v>
      </c>
      <c r="E102" s="4" t="n">
        <v>25.7</v>
      </c>
      <c r="F102" s="17" t="n">
        <v>12000000</v>
      </c>
      <c r="G102" s="17" t="n">
        <v>12978145</v>
      </c>
      <c r="H102" s="18" t="n">
        <v>8.2</v>
      </c>
      <c r="I102" s="4" t="n">
        <v>94</v>
      </c>
      <c r="J102" s="4" t="n">
        <v>0.33</v>
      </c>
      <c r="K102" s="4" t="n">
        <v>0.56</v>
      </c>
      <c r="L102" s="19" t="n">
        <v>0.0845511460731863</v>
      </c>
      <c r="M102" s="4" t="n">
        <v>0.79</v>
      </c>
      <c r="N102" s="4" t="s">
        <v>48</v>
      </c>
    </row>
    <row r="103" customFormat="false" ht="14.25" hidden="false" customHeight="false" outlineLevel="0" collapsed="false">
      <c r="A103" s="4" t="s">
        <v>197</v>
      </c>
      <c r="B103" s="4" t="s">
        <v>22</v>
      </c>
      <c r="C103" s="4" t="s">
        <v>29</v>
      </c>
      <c r="D103" s="4" t="s">
        <v>83</v>
      </c>
      <c r="E103" s="4" t="n">
        <v>24.9</v>
      </c>
      <c r="F103" s="17" t="n">
        <v>30000000</v>
      </c>
      <c r="G103" s="17" t="n">
        <v>34888396</v>
      </c>
      <c r="H103" s="18" t="n">
        <v>16.3</v>
      </c>
      <c r="I103" s="4" t="n">
        <v>74</v>
      </c>
      <c r="J103" s="4" t="n">
        <v>0.39</v>
      </c>
      <c r="K103" s="4" t="n">
        <v>0.63</v>
      </c>
      <c r="L103" s="19" t="n">
        <v>0.118898650840106</v>
      </c>
      <c r="M103" s="4" t="n">
        <v>0.03</v>
      </c>
      <c r="N103" s="4" t="s">
        <v>48</v>
      </c>
    </row>
    <row r="104" customFormat="false" ht="14.25" hidden="false" customHeight="false" outlineLevel="0" collapsed="false">
      <c r="A104" s="4" t="s">
        <v>198</v>
      </c>
      <c r="B104" s="4" t="s">
        <v>28</v>
      </c>
      <c r="C104" s="4" t="s">
        <v>53</v>
      </c>
      <c r="D104" s="4" t="s">
        <v>199</v>
      </c>
      <c r="E104" s="4" t="n">
        <v>24.9</v>
      </c>
      <c r="F104" s="17" t="n">
        <v>17000000</v>
      </c>
      <c r="G104" s="17" t="n">
        <v>23100190</v>
      </c>
      <c r="H104" s="18" t="n">
        <v>35.9</v>
      </c>
      <c r="I104" s="4" t="n">
        <v>72</v>
      </c>
      <c r="J104" s="4" t="n">
        <v>0.39</v>
      </c>
      <c r="K104" s="4" t="n">
        <v>0.73</v>
      </c>
      <c r="L104" s="19" t="n">
        <v>0.0890441770995849</v>
      </c>
      <c r="M104" s="4" t="n">
        <v>0.34</v>
      </c>
      <c r="N104" s="4" t="s">
        <v>48</v>
      </c>
    </row>
    <row r="105" customFormat="false" ht="14.25" hidden="false" customHeight="false" outlineLevel="0" collapsed="false">
      <c r="A105" s="4" t="s">
        <v>200</v>
      </c>
      <c r="B105" s="4" t="s">
        <v>28</v>
      </c>
      <c r="C105" s="4" t="s">
        <v>29</v>
      </c>
      <c r="D105" s="4" t="s">
        <v>79</v>
      </c>
      <c r="E105" s="4" t="n">
        <v>25.8</v>
      </c>
      <c r="F105" s="17" t="n">
        <v>18000000</v>
      </c>
      <c r="G105" s="17" t="n">
        <v>20494927</v>
      </c>
      <c r="H105" s="18" t="n">
        <v>13.9</v>
      </c>
      <c r="I105" s="4" t="n">
        <v>86</v>
      </c>
      <c r="J105" s="4" t="n">
        <v>0.32</v>
      </c>
      <c r="K105" s="4" t="n">
        <v>0.62</v>
      </c>
      <c r="L105" s="19" t="n">
        <v>0.225471136971971</v>
      </c>
      <c r="M105" s="4" t="n">
        <v>0.22</v>
      </c>
      <c r="N105" s="4" t="s">
        <v>48</v>
      </c>
    </row>
    <row r="106" customFormat="false" ht="14.25" hidden="false" customHeight="false" outlineLevel="0" collapsed="false">
      <c r="A106" s="4" t="s">
        <v>201</v>
      </c>
      <c r="B106" s="4" t="s">
        <v>22</v>
      </c>
      <c r="C106" s="4" t="s">
        <v>23</v>
      </c>
      <c r="D106" s="4" t="s">
        <v>202</v>
      </c>
      <c r="E106" s="4" t="n">
        <v>25</v>
      </c>
      <c r="F106" s="17" t="n">
        <v>45000000</v>
      </c>
      <c r="G106" s="17" t="n">
        <v>39195097</v>
      </c>
      <c r="H106" s="18" t="n">
        <v>-12.9</v>
      </c>
      <c r="I106" s="4" t="n">
        <v>84</v>
      </c>
      <c r="J106" s="4" t="n">
        <v>0.39</v>
      </c>
      <c r="K106" s="4" t="n">
        <v>0.41</v>
      </c>
      <c r="L106" s="19" t="n">
        <v>0.0538015743036562</v>
      </c>
      <c r="M106" s="4" t="n">
        <v>0.07</v>
      </c>
      <c r="N106" s="4" t="s">
        <v>59</v>
      </c>
    </row>
    <row r="107" customFormat="false" ht="14.25" hidden="false" customHeight="false" outlineLevel="0" collapsed="false">
      <c r="A107" s="4" t="s">
        <v>203</v>
      </c>
      <c r="B107" s="4" t="s">
        <v>22</v>
      </c>
      <c r="C107" s="4" t="s">
        <v>26</v>
      </c>
      <c r="D107" s="4" t="s">
        <v>204</v>
      </c>
      <c r="E107" s="4" t="n">
        <v>26.3</v>
      </c>
      <c r="F107" s="17" t="n">
        <v>50000000</v>
      </c>
      <c r="G107" s="17" t="n">
        <v>48623174</v>
      </c>
      <c r="H107" s="18" t="n">
        <v>-2.8</v>
      </c>
      <c r="I107" s="4" t="n">
        <v>88</v>
      </c>
      <c r="J107" s="4" t="n">
        <v>0.29</v>
      </c>
      <c r="K107" s="4" t="n">
        <v>0.5</v>
      </c>
      <c r="L107" s="19" t="n">
        <v>0.0633348646294535</v>
      </c>
      <c r="M107" s="4" t="n">
        <v>0.16</v>
      </c>
      <c r="N107" s="4" t="s">
        <v>59</v>
      </c>
    </row>
    <row r="108" customFormat="false" ht="14.25" hidden="false" customHeight="false" outlineLevel="0" collapsed="false">
      <c r="A108" s="4" t="s">
        <v>205</v>
      </c>
      <c r="B108" s="4" t="s">
        <v>28</v>
      </c>
      <c r="C108" s="4" t="s">
        <v>23</v>
      </c>
      <c r="D108" s="4" t="s">
        <v>98</v>
      </c>
      <c r="E108" s="4" t="n">
        <v>20.7</v>
      </c>
      <c r="F108" s="17" t="n">
        <v>35000000</v>
      </c>
      <c r="G108" s="17" t="n">
        <v>12820034</v>
      </c>
      <c r="H108" s="18" t="n">
        <v>-63.4</v>
      </c>
      <c r="I108" s="4" t="n">
        <v>88</v>
      </c>
      <c r="J108" s="4" t="n">
        <v>0.72</v>
      </c>
      <c r="K108" s="4" t="n">
        <v>0.09</v>
      </c>
      <c r="L108" s="19" t="n">
        <v>0.0328446105873088</v>
      </c>
      <c r="M108" s="4" t="n">
        <v>0.69</v>
      </c>
      <c r="N108" s="4" t="s">
        <v>59</v>
      </c>
    </row>
    <row r="109" customFormat="false" ht="14.25" hidden="false" customHeight="false" outlineLevel="0" collapsed="false">
      <c r="A109" s="4" t="s">
        <v>206</v>
      </c>
      <c r="B109" s="4" t="s">
        <v>25</v>
      </c>
      <c r="C109" s="4" t="s">
        <v>53</v>
      </c>
      <c r="D109" s="4" t="s">
        <v>134</v>
      </c>
      <c r="E109" s="4" t="n">
        <v>26.9</v>
      </c>
      <c r="F109" s="17" t="n">
        <v>4000000</v>
      </c>
      <c r="G109" s="17" t="n">
        <v>8636624</v>
      </c>
      <c r="H109" s="18" t="n">
        <v>115.9</v>
      </c>
      <c r="I109" s="4" t="n">
        <v>78</v>
      </c>
      <c r="J109" s="4" t="n">
        <v>0.24</v>
      </c>
      <c r="K109" s="4" t="n">
        <v>0.93</v>
      </c>
      <c r="L109" s="19" t="n">
        <v>0.241813096995638</v>
      </c>
      <c r="M109" s="4" t="n">
        <v>0.4</v>
      </c>
      <c r="N109" s="4" t="s">
        <v>48</v>
      </c>
    </row>
    <row r="110" customFormat="false" ht="14.25" hidden="false" customHeight="false" outlineLevel="0" collapsed="false">
      <c r="A110" s="4" t="s">
        <v>207</v>
      </c>
      <c r="B110" s="4" t="s">
        <v>22</v>
      </c>
      <c r="C110" s="4" t="s">
        <v>29</v>
      </c>
      <c r="D110" s="4" t="s">
        <v>157</v>
      </c>
      <c r="E110" s="4" t="n">
        <v>24.4</v>
      </c>
      <c r="F110" s="17" t="n">
        <v>180000000</v>
      </c>
      <c r="G110" s="17" t="n">
        <v>112064386</v>
      </c>
      <c r="H110" s="18" t="n">
        <v>-37.7</v>
      </c>
      <c r="I110" s="4" t="n">
        <v>91</v>
      </c>
      <c r="J110" s="4" t="n">
        <v>0.43</v>
      </c>
      <c r="K110" s="4" t="n">
        <v>0.22</v>
      </c>
      <c r="L110" s="19" t="n">
        <v>0.0436164671515991</v>
      </c>
      <c r="M110" s="4" t="n">
        <v>0.03</v>
      </c>
      <c r="N110" s="4" t="s">
        <v>59</v>
      </c>
    </row>
    <row r="111" customFormat="false" ht="14.25" hidden="false" customHeight="false" outlineLevel="0" collapsed="false">
      <c r="A111" s="4" t="s">
        <v>208</v>
      </c>
      <c r="B111" s="4" t="s">
        <v>28</v>
      </c>
      <c r="C111" s="4" t="s">
        <v>29</v>
      </c>
      <c r="D111" s="4" t="s">
        <v>117</v>
      </c>
      <c r="E111" s="4" t="n">
        <v>20.9</v>
      </c>
      <c r="F111" s="17" t="n">
        <v>22000000</v>
      </c>
      <c r="G111" s="17" t="n">
        <v>13070180</v>
      </c>
      <c r="H111" s="18" t="n">
        <v>-40.6</v>
      </c>
      <c r="I111" s="4" t="n">
        <v>82</v>
      </c>
      <c r="J111" s="4" t="n">
        <v>0.7</v>
      </c>
      <c r="K111" s="4" t="n">
        <v>0.28</v>
      </c>
      <c r="L111" s="19" t="n">
        <v>0.297156698528564</v>
      </c>
      <c r="M111" s="4" t="n">
        <v>0.22</v>
      </c>
      <c r="N111" s="4" t="s">
        <v>59</v>
      </c>
    </row>
    <row r="112" customFormat="false" ht="14.25" hidden="false" customHeight="false" outlineLevel="0" collapsed="false">
      <c r="A112" s="4" t="s">
        <v>209</v>
      </c>
      <c r="B112" s="4" t="s">
        <v>22</v>
      </c>
      <c r="C112" s="4" t="s">
        <v>29</v>
      </c>
      <c r="D112" s="4" t="s">
        <v>157</v>
      </c>
      <c r="E112" s="4" t="n">
        <v>20.7</v>
      </c>
      <c r="F112" s="17" t="n">
        <v>50000000</v>
      </c>
      <c r="G112" s="17" t="n">
        <v>40822303</v>
      </c>
      <c r="H112" s="18" t="n">
        <v>-18.4</v>
      </c>
      <c r="I112" s="4" t="n">
        <v>65</v>
      </c>
      <c r="J112" s="4" t="n">
        <v>0.71</v>
      </c>
      <c r="K112" s="4" t="n">
        <v>0.36</v>
      </c>
      <c r="L112" s="19" t="n">
        <v>0.114297889479014</v>
      </c>
      <c r="M112" s="4" t="n">
        <v>0.03</v>
      </c>
      <c r="N112" s="4" t="s">
        <v>59</v>
      </c>
    </row>
    <row r="113" customFormat="false" ht="14.25" hidden="false" customHeight="false" outlineLevel="0" collapsed="false">
      <c r="A113" s="4" t="s">
        <v>210</v>
      </c>
      <c r="B113" s="4" t="s">
        <v>22</v>
      </c>
      <c r="C113" s="4" t="s">
        <v>106</v>
      </c>
      <c r="D113" s="4" t="s">
        <v>211</v>
      </c>
      <c r="E113" s="4" t="n">
        <v>22.2</v>
      </c>
      <c r="F113" s="17" t="n">
        <v>20000000</v>
      </c>
      <c r="G113" s="17" t="n">
        <v>19276759</v>
      </c>
      <c r="H113" s="18" t="n">
        <v>-3.6</v>
      </c>
      <c r="I113" s="4" t="n">
        <v>69</v>
      </c>
      <c r="J113" s="4" t="n">
        <v>0.6</v>
      </c>
      <c r="K113" s="4" t="n">
        <v>0.5</v>
      </c>
      <c r="L113" s="19" t="n">
        <v>0.110474695802034</v>
      </c>
      <c r="M113" s="4" t="n">
        <v>0.28</v>
      </c>
      <c r="N113" s="4" t="s">
        <v>59</v>
      </c>
    </row>
    <row r="114" customFormat="false" ht="14.25" hidden="false" customHeight="false" outlineLevel="0" collapsed="false">
      <c r="A114" s="4" t="s">
        <v>212</v>
      </c>
      <c r="B114" s="4" t="s">
        <v>213</v>
      </c>
      <c r="C114" s="4" t="s">
        <v>29</v>
      </c>
      <c r="D114" s="4" t="s">
        <v>72</v>
      </c>
      <c r="E114" s="4" t="n">
        <v>22.4</v>
      </c>
      <c r="F114" s="17" t="n">
        <v>30000000</v>
      </c>
      <c r="G114" s="17" t="n">
        <v>20531143</v>
      </c>
      <c r="H114" s="18" t="n">
        <v>-31.6</v>
      </c>
      <c r="I114" s="4" t="n">
        <v>86</v>
      </c>
      <c r="J114" s="4" t="n">
        <v>0.59</v>
      </c>
      <c r="K114" s="4" t="n">
        <v>0.34</v>
      </c>
      <c r="L114" s="19" t="n">
        <v>0.100986010762627</v>
      </c>
      <c r="M114" s="4" t="n">
        <v>0.72</v>
      </c>
      <c r="N114" s="4" t="s">
        <v>59</v>
      </c>
    </row>
    <row r="115" customFormat="false" ht="14.25" hidden="false" customHeight="false" outlineLevel="0" collapsed="false">
      <c r="A115" s="4" t="s">
        <v>214</v>
      </c>
      <c r="B115" s="4" t="s">
        <v>22</v>
      </c>
      <c r="C115" s="4" t="s">
        <v>23</v>
      </c>
      <c r="D115" s="4" t="s">
        <v>98</v>
      </c>
      <c r="E115" s="4" t="n">
        <v>22.4</v>
      </c>
      <c r="F115" s="17" t="n">
        <v>25000000</v>
      </c>
      <c r="G115" s="17" t="n">
        <v>26306049</v>
      </c>
      <c r="H115" s="18" t="n">
        <v>5.2</v>
      </c>
      <c r="I115" s="4" t="n">
        <v>61</v>
      </c>
      <c r="J115" s="4" t="n">
        <v>0.59</v>
      </c>
      <c r="K115" s="4" t="n">
        <v>0.56</v>
      </c>
      <c r="L115" s="19" t="n">
        <v>0.0776107984202402</v>
      </c>
      <c r="M115" s="4" t="n">
        <v>0.07</v>
      </c>
      <c r="N115" s="4" t="s">
        <v>48</v>
      </c>
    </row>
    <row r="116" customFormat="false" ht="14.25" hidden="false" customHeight="false" outlineLevel="0" collapsed="false">
      <c r="A116" s="4" t="s">
        <v>215</v>
      </c>
      <c r="B116" s="4" t="s">
        <v>25</v>
      </c>
      <c r="C116" s="4" t="s">
        <v>29</v>
      </c>
      <c r="D116" s="4" t="s">
        <v>61</v>
      </c>
      <c r="E116" s="4" t="n">
        <v>23</v>
      </c>
      <c r="F116" s="17" t="n">
        <v>22000000</v>
      </c>
      <c r="G116" s="17" t="n">
        <v>23787184</v>
      </c>
      <c r="H116" s="18" t="n">
        <v>8.1</v>
      </c>
      <c r="I116" s="4" t="n">
        <v>75</v>
      </c>
      <c r="J116" s="4" t="n">
        <v>0.54</v>
      </c>
      <c r="K116" s="4" t="n">
        <v>0.56</v>
      </c>
      <c r="L116" s="19" t="n">
        <v>0.128737435593113</v>
      </c>
      <c r="M116" s="4" t="n">
        <v>0.54</v>
      </c>
      <c r="N116" s="4" t="s">
        <v>48</v>
      </c>
    </row>
    <row r="117" customFormat="false" ht="14.25" hidden="false" customHeight="false" outlineLevel="0" collapsed="false">
      <c r="A117" s="4" t="s">
        <v>216</v>
      </c>
      <c r="B117" s="4" t="s">
        <v>28</v>
      </c>
      <c r="C117" s="4" t="s">
        <v>26</v>
      </c>
      <c r="D117" s="4" t="s">
        <v>163</v>
      </c>
      <c r="E117" s="4" t="n">
        <v>21.8</v>
      </c>
      <c r="F117" s="17" t="n">
        <v>10000000</v>
      </c>
      <c r="G117" s="17" t="n">
        <v>10601727</v>
      </c>
      <c r="H117" s="18" t="n">
        <v>6</v>
      </c>
      <c r="I117" s="4" t="n">
        <v>74</v>
      </c>
      <c r="J117" s="4" t="n">
        <v>0.63</v>
      </c>
      <c r="K117" s="4" t="n">
        <v>0.59</v>
      </c>
      <c r="L117" s="19" t="n">
        <v>0.269985199595375</v>
      </c>
      <c r="M117" s="4" t="n">
        <v>0.63</v>
      </c>
      <c r="N117" s="4" t="s">
        <v>48</v>
      </c>
    </row>
    <row r="118" customFormat="false" ht="14.25" hidden="false" customHeight="false" outlineLevel="0" collapsed="false">
      <c r="A118" s="4" t="s">
        <v>217</v>
      </c>
      <c r="B118" s="4" t="s">
        <v>28</v>
      </c>
      <c r="C118" s="4" t="s">
        <v>23</v>
      </c>
      <c r="D118" s="4" t="s">
        <v>202</v>
      </c>
      <c r="E118" s="4" t="n">
        <v>21.7</v>
      </c>
      <c r="F118" s="17" t="n">
        <v>18000000</v>
      </c>
      <c r="G118" s="17" t="n">
        <v>11438338</v>
      </c>
      <c r="H118" s="18" t="n">
        <v>-36.5</v>
      </c>
      <c r="I118" s="4" t="n">
        <v>85</v>
      </c>
      <c r="J118" s="4" t="n">
        <v>0.64</v>
      </c>
      <c r="K118" s="4" t="n">
        <v>0.3</v>
      </c>
      <c r="L118" s="19" t="n">
        <v>0.139650508259918</v>
      </c>
      <c r="M118" s="4" t="n">
        <v>0.69</v>
      </c>
      <c r="N118" s="4" t="s">
        <v>59</v>
      </c>
    </row>
    <row r="119" customFormat="false" ht="14.25" hidden="false" customHeight="false" outlineLevel="0" collapsed="false">
      <c r="A119" s="4" t="s">
        <v>218</v>
      </c>
      <c r="B119" s="4" t="s">
        <v>25</v>
      </c>
      <c r="C119" s="4" t="s">
        <v>23</v>
      </c>
      <c r="D119" s="4" t="s">
        <v>219</v>
      </c>
      <c r="E119" s="4" t="n">
        <v>22.4</v>
      </c>
      <c r="F119" s="17" t="n">
        <v>10000000</v>
      </c>
      <c r="G119" s="17" t="n">
        <v>8428363</v>
      </c>
      <c r="H119" s="18" t="n">
        <v>-15.7</v>
      </c>
      <c r="I119" s="4" t="n">
        <v>76</v>
      </c>
      <c r="J119" s="4" t="n">
        <v>0.59</v>
      </c>
      <c r="K119" s="4" t="n">
        <v>0.45</v>
      </c>
      <c r="L119" s="19" t="n">
        <v>0.124213703658404</v>
      </c>
      <c r="M119" s="4" t="n">
        <v>0.47</v>
      </c>
      <c r="N119" s="4" t="s">
        <v>59</v>
      </c>
    </row>
    <row r="120" customFormat="false" ht="14.25" hidden="false" customHeight="false" outlineLevel="0" collapsed="false">
      <c r="A120" s="4" t="s">
        <v>220</v>
      </c>
      <c r="B120" s="4" t="s">
        <v>25</v>
      </c>
      <c r="C120" s="4" t="s">
        <v>29</v>
      </c>
      <c r="D120" s="4" t="s">
        <v>120</v>
      </c>
      <c r="E120" s="4" t="n">
        <v>24.5</v>
      </c>
      <c r="F120" s="17" t="n">
        <v>45000000</v>
      </c>
      <c r="G120" s="17" t="n">
        <v>30916546</v>
      </c>
      <c r="H120" s="18" t="n">
        <v>-31.3</v>
      </c>
      <c r="I120" s="4" t="n">
        <v>93</v>
      </c>
      <c r="J120" s="4" t="n">
        <v>0.43</v>
      </c>
      <c r="K120" s="4" t="n">
        <v>0.33</v>
      </c>
      <c r="L120" s="19" t="n">
        <v>0.0598907952020778</v>
      </c>
      <c r="M120" s="4" t="n">
        <v>0.54</v>
      </c>
      <c r="N120" s="4" t="s">
        <v>59</v>
      </c>
    </row>
    <row r="121" customFormat="false" ht="14.25" hidden="false" customHeight="false" outlineLevel="0" collapsed="false">
      <c r="A121" s="4" t="s">
        <v>221</v>
      </c>
      <c r="B121" s="4" t="s">
        <v>28</v>
      </c>
      <c r="C121" s="4" t="s">
        <v>26</v>
      </c>
      <c r="D121" s="4" t="s">
        <v>222</v>
      </c>
      <c r="E121" s="4" t="n">
        <v>21.4</v>
      </c>
      <c r="F121" s="17" t="n">
        <v>14000000</v>
      </c>
      <c r="G121" s="17" t="n">
        <v>12638165</v>
      </c>
      <c r="H121" s="18" t="n">
        <v>-9.7</v>
      </c>
      <c r="I121" s="4" t="n">
        <v>73</v>
      </c>
      <c r="J121" s="4" t="n">
        <v>0.66</v>
      </c>
      <c r="K121" s="4" t="n">
        <v>0.51</v>
      </c>
      <c r="L121" s="19" t="n">
        <v>0.196211313979656</v>
      </c>
      <c r="M121" s="4" t="n">
        <v>0.63</v>
      </c>
      <c r="N121" s="4" t="s">
        <v>59</v>
      </c>
    </row>
    <row r="122" customFormat="false" ht="14.25" hidden="false" customHeight="false" outlineLevel="0" collapsed="false">
      <c r="A122" s="4" t="s">
        <v>223</v>
      </c>
      <c r="B122" s="4" t="s">
        <v>22</v>
      </c>
      <c r="C122" s="4" t="s">
        <v>23</v>
      </c>
      <c r="D122" s="4" t="s">
        <v>224</v>
      </c>
      <c r="E122" s="4" t="n">
        <v>25.1</v>
      </c>
      <c r="F122" s="17" t="n">
        <v>4000000</v>
      </c>
      <c r="G122" s="17" t="n">
        <v>10607735</v>
      </c>
      <c r="H122" s="18" t="n">
        <v>165.2</v>
      </c>
      <c r="I122" s="4" t="n">
        <v>63</v>
      </c>
      <c r="J122" s="4" t="n">
        <v>0.38</v>
      </c>
      <c r="K122" s="4" t="n">
        <v>0.95</v>
      </c>
      <c r="L122" s="19" t="n">
        <v>0.309331448141858</v>
      </c>
      <c r="M122" s="4" t="n">
        <v>0.07</v>
      </c>
      <c r="N122" s="4" t="s">
        <v>48</v>
      </c>
    </row>
    <row r="123" customFormat="false" ht="14.25" hidden="false" customHeight="false" outlineLevel="0" collapsed="false">
      <c r="A123" s="4" t="s">
        <v>225</v>
      </c>
      <c r="B123" s="4" t="s">
        <v>28</v>
      </c>
      <c r="C123" s="4" t="s">
        <v>53</v>
      </c>
      <c r="D123" s="4" t="s">
        <v>226</v>
      </c>
      <c r="E123" s="4" t="n">
        <v>26.6</v>
      </c>
      <c r="F123" s="17" t="n">
        <v>12000000</v>
      </c>
      <c r="G123" s="17" t="n">
        <v>11535929</v>
      </c>
      <c r="H123" s="18" t="n">
        <v>-3.9</v>
      </c>
      <c r="I123" s="4" t="n">
        <v>91</v>
      </c>
      <c r="J123" s="4" t="n">
        <v>0.26</v>
      </c>
      <c r="K123" s="4" t="n">
        <v>0.54</v>
      </c>
      <c r="L123" s="19" t="n">
        <v>0.141031192196275</v>
      </c>
      <c r="M123" s="4" t="n">
        <v>0.34</v>
      </c>
      <c r="N123" s="4" t="s">
        <v>59</v>
      </c>
    </row>
    <row r="124" customFormat="false" ht="14.25" hidden="false" customHeight="false" outlineLevel="0" collapsed="false">
      <c r="A124" s="4" t="s">
        <v>227</v>
      </c>
      <c r="B124" s="4" t="s">
        <v>28</v>
      </c>
      <c r="C124" s="4" t="s">
        <v>53</v>
      </c>
      <c r="D124" s="4" t="s">
        <v>228</v>
      </c>
      <c r="E124" s="4" t="n">
        <v>19.5</v>
      </c>
      <c r="F124" s="17" t="n">
        <v>30000000</v>
      </c>
      <c r="G124" s="17" t="n">
        <v>19849758</v>
      </c>
      <c r="H124" s="18" t="n">
        <v>-33.8</v>
      </c>
      <c r="I124" s="4" t="n">
        <v>62</v>
      </c>
      <c r="J124" s="4" t="n">
        <v>0.81</v>
      </c>
      <c r="K124" s="4" t="n">
        <v>0.33</v>
      </c>
      <c r="L124" s="19" t="n">
        <v>0.0573487293916617</v>
      </c>
      <c r="M124" s="4" t="n">
        <v>0.34</v>
      </c>
      <c r="N124" s="4" t="s">
        <v>59</v>
      </c>
    </row>
    <row r="125" customFormat="false" ht="14.25" hidden="false" customHeight="false" outlineLevel="0" collapsed="false">
      <c r="A125" s="4" t="s">
        <v>229</v>
      </c>
      <c r="B125" s="4" t="s">
        <v>25</v>
      </c>
      <c r="C125" s="4" t="s">
        <v>29</v>
      </c>
      <c r="D125" s="4" t="s">
        <v>165</v>
      </c>
      <c r="E125" s="4" t="n">
        <v>23.8</v>
      </c>
      <c r="F125" s="17" t="n">
        <v>80000000</v>
      </c>
      <c r="G125" s="17" t="n">
        <v>45421034</v>
      </c>
      <c r="H125" s="18" t="n">
        <v>-43.2</v>
      </c>
      <c r="I125" s="4" t="n">
        <v>92</v>
      </c>
      <c r="J125" s="4" t="n">
        <v>0.48</v>
      </c>
      <c r="K125" s="4" t="n">
        <v>0.25</v>
      </c>
      <c r="L125" s="19" t="n">
        <v>0.0348730863058873</v>
      </c>
      <c r="M125" s="4" t="n">
        <v>0.54</v>
      </c>
      <c r="N125" s="4" t="s">
        <v>59</v>
      </c>
    </row>
    <row r="126" customFormat="false" ht="14.25" hidden="false" customHeight="false" outlineLevel="0" collapsed="false">
      <c r="A126" s="4" t="s">
        <v>230</v>
      </c>
      <c r="B126" s="4" t="s">
        <v>22</v>
      </c>
      <c r="C126" s="4" t="s">
        <v>53</v>
      </c>
      <c r="D126" s="4" t="s">
        <v>124</v>
      </c>
      <c r="E126" s="4" t="n">
        <v>22.9</v>
      </c>
      <c r="F126" s="17" t="n">
        <v>30000000</v>
      </c>
      <c r="G126" s="17" t="n">
        <v>16235165</v>
      </c>
      <c r="H126" s="18" t="n">
        <v>-45.9</v>
      </c>
      <c r="I126" s="4" t="n">
        <v>88</v>
      </c>
      <c r="J126" s="4" t="n">
        <v>0.55</v>
      </c>
      <c r="K126" s="4" t="n">
        <v>0.16</v>
      </c>
      <c r="L126" s="19" t="n">
        <v>0.109770664111803</v>
      </c>
      <c r="M126" s="4" t="n">
        <v>0.12</v>
      </c>
      <c r="N126" s="4" t="s">
        <v>59</v>
      </c>
    </row>
    <row r="127" customFormat="false" ht="14.25" hidden="false" customHeight="false" outlineLevel="0" collapsed="false">
      <c r="A127" s="4" t="s">
        <v>231</v>
      </c>
      <c r="B127" s="4" t="s">
        <v>28</v>
      </c>
      <c r="C127" s="4" t="s">
        <v>23</v>
      </c>
      <c r="D127" s="4" t="s">
        <v>232</v>
      </c>
      <c r="E127" s="4" t="n">
        <v>23.5</v>
      </c>
      <c r="F127" s="17" t="n">
        <v>15000000</v>
      </c>
      <c r="G127" s="17" t="n">
        <v>10220510</v>
      </c>
      <c r="H127" s="18" t="n">
        <v>-31.9</v>
      </c>
      <c r="I127" s="4" t="n">
        <v>91</v>
      </c>
      <c r="J127" s="4" t="n">
        <v>0.5</v>
      </c>
      <c r="K127" s="4" t="n">
        <v>0.35</v>
      </c>
      <c r="L127" s="19" t="n">
        <v>0.163994230546125</v>
      </c>
      <c r="M127" s="4" t="n">
        <v>0.69</v>
      </c>
      <c r="N127" s="4" t="s">
        <v>59</v>
      </c>
    </row>
    <row r="128" customFormat="false" ht="14.25" hidden="false" customHeight="false" outlineLevel="0" collapsed="false">
      <c r="A128" s="4" t="s">
        <v>233</v>
      </c>
      <c r="B128" s="4" t="s">
        <v>25</v>
      </c>
      <c r="C128" s="4" t="s">
        <v>53</v>
      </c>
      <c r="D128" s="4" t="s">
        <v>234</v>
      </c>
      <c r="E128" s="4" t="n">
        <v>26.5</v>
      </c>
      <c r="F128" s="17" t="n">
        <v>13000000</v>
      </c>
      <c r="G128" s="17" t="n">
        <v>11283222</v>
      </c>
      <c r="H128" s="18" t="n">
        <v>-13.2</v>
      </c>
      <c r="I128" s="4" t="n">
        <v>93</v>
      </c>
      <c r="J128" s="4" t="n">
        <v>0.27</v>
      </c>
      <c r="K128" s="4" t="n">
        <v>0.47</v>
      </c>
      <c r="L128" s="19" t="n">
        <v>0.0840950769996394</v>
      </c>
      <c r="M128" s="4" t="n">
        <v>0.4</v>
      </c>
      <c r="N128" s="4" t="s">
        <v>59</v>
      </c>
    </row>
    <row r="129" customFormat="false" ht="14.25" hidden="false" customHeight="false" outlineLevel="0" collapsed="false">
      <c r="A129" s="4" t="s">
        <v>235</v>
      </c>
      <c r="B129" s="4" t="s">
        <v>28</v>
      </c>
      <c r="C129" s="4" t="s">
        <v>26</v>
      </c>
      <c r="D129" s="4" t="s">
        <v>126</v>
      </c>
      <c r="E129" s="4" t="n">
        <v>24.6</v>
      </c>
      <c r="F129" s="17" t="n">
        <v>24000000</v>
      </c>
      <c r="G129" s="17" t="n">
        <v>20896399</v>
      </c>
      <c r="H129" s="18" t="n">
        <v>-12.9</v>
      </c>
      <c r="I129" s="4" t="n">
        <v>84</v>
      </c>
      <c r="J129" s="4" t="n">
        <v>0.41</v>
      </c>
      <c r="K129" s="4" t="n">
        <v>0.49</v>
      </c>
      <c r="L129" s="19" t="n">
        <v>0.0636415460656607</v>
      </c>
      <c r="M129" s="4" t="n">
        <v>0.63</v>
      </c>
      <c r="N129" s="4" t="s">
        <v>59</v>
      </c>
    </row>
    <row r="130" customFormat="false" ht="14.25" hidden="false" customHeight="false" outlineLevel="0" collapsed="false">
      <c r="A130" s="4" t="s">
        <v>236</v>
      </c>
      <c r="B130" s="4" t="s">
        <v>22</v>
      </c>
      <c r="C130" s="4" t="s">
        <v>53</v>
      </c>
      <c r="D130" s="4" t="s">
        <v>68</v>
      </c>
      <c r="E130" s="4" t="n">
        <v>23</v>
      </c>
      <c r="F130" s="17" t="n">
        <v>45000000</v>
      </c>
      <c r="G130" s="17" t="n">
        <v>21276028</v>
      </c>
      <c r="H130" s="18" t="n">
        <v>-52.7</v>
      </c>
      <c r="I130" s="4" t="n">
        <v>90</v>
      </c>
      <c r="J130" s="4" t="n">
        <v>0.54</v>
      </c>
      <c r="K130" s="4" t="n">
        <v>0.11</v>
      </c>
      <c r="L130" s="19" t="n">
        <v>0.127504654358387</v>
      </c>
      <c r="M130" s="4" t="n">
        <v>0.12</v>
      </c>
      <c r="N130" s="4" t="s">
        <v>59</v>
      </c>
    </row>
    <row r="131" customFormat="false" ht="14.25" hidden="false" customHeight="false" outlineLevel="0" collapsed="false">
      <c r="A131" s="4" t="s">
        <v>237</v>
      </c>
      <c r="B131" s="4" t="s">
        <v>28</v>
      </c>
      <c r="C131" s="4" t="s">
        <v>29</v>
      </c>
      <c r="D131" s="4" t="s">
        <v>61</v>
      </c>
      <c r="E131" s="4" t="n">
        <v>24.5</v>
      </c>
      <c r="F131" s="17" t="n">
        <v>28000000</v>
      </c>
      <c r="G131" s="17" t="n">
        <v>19621797</v>
      </c>
      <c r="H131" s="18" t="n">
        <v>-29.9</v>
      </c>
      <c r="I131" s="4" t="n">
        <v>84</v>
      </c>
      <c r="J131" s="4" t="n">
        <v>0.42</v>
      </c>
      <c r="K131" s="4" t="n">
        <v>0.37</v>
      </c>
      <c r="L131" s="19" t="n">
        <v>0.103896374690803</v>
      </c>
      <c r="M131" s="4" t="n">
        <v>0.22</v>
      </c>
      <c r="N131" s="4" t="s">
        <v>59</v>
      </c>
    </row>
    <row r="132" customFormat="false" ht="14.25" hidden="false" customHeight="false" outlineLevel="0" collapsed="false">
      <c r="A132" s="4" t="s">
        <v>238</v>
      </c>
      <c r="B132" s="4" t="s">
        <v>22</v>
      </c>
      <c r="C132" s="4" t="s">
        <v>53</v>
      </c>
      <c r="D132" s="4" t="s">
        <v>63</v>
      </c>
      <c r="E132" s="4" t="n">
        <v>21.6</v>
      </c>
      <c r="F132" s="17" t="n">
        <v>70000000</v>
      </c>
      <c r="G132" s="17" t="n">
        <v>33923925</v>
      </c>
      <c r="H132" s="18" t="n">
        <v>-51.5</v>
      </c>
      <c r="I132" s="4" t="n">
        <v>78</v>
      </c>
      <c r="J132" s="4" t="n">
        <v>0.65</v>
      </c>
      <c r="K132" s="4" t="n">
        <v>0.11</v>
      </c>
      <c r="L132" s="19" t="n">
        <v>0.0437209516909601</v>
      </c>
      <c r="M132" s="4" t="n">
        <v>0.12</v>
      </c>
      <c r="N132" s="4" t="s">
        <v>59</v>
      </c>
    </row>
    <row r="133" customFormat="false" ht="14.25" hidden="false" customHeight="false" outlineLevel="0" collapsed="false">
      <c r="A133" s="4" t="s">
        <v>239</v>
      </c>
      <c r="B133" s="4" t="s">
        <v>28</v>
      </c>
      <c r="C133" s="4" t="s">
        <v>26</v>
      </c>
      <c r="D133" s="4" t="s">
        <v>147</v>
      </c>
      <c r="E133" s="4" t="n">
        <v>22.3</v>
      </c>
      <c r="F133" s="17" t="n">
        <v>6000000</v>
      </c>
      <c r="G133" s="17" t="n">
        <v>11509372</v>
      </c>
      <c r="H133" s="18" t="n">
        <v>91.8</v>
      </c>
      <c r="I133" s="4" t="n">
        <v>58</v>
      </c>
      <c r="J133" s="4" t="n">
        <v>0.6</v>
      </c>
      <c r="K133" s="4" t="n">
        <v>0.84</v>
      </c>
      <c r="L133" s="19" t="n">
        <v>0.267164276312511</v>
      </c>
      <c r="M133" s="4" t="n">
        <v>0.63</v>
      </c>
      <c r="N133" s="4" t="s">
        <v>48</v>
      </c>
    </row>
    <row r="134" customFormat="false" ht="14.25" hidden="false" customHeight="false" outlineLevel="0" collapsed="false">
      <c r="A134" s="4" t="s">
        <v>240</v>
      </c>
      <c r="B134" s="4" t="s">
        <v>22</v>
      </c>
      <c r="C134" s="4" t="s">
        <v>106</v>
      </c>
      <c r="D134" s="4" t="s">
        <v>241</v>
      </c>
      <c r="E134" s="4" t="n">
        <v>26</v>
      </c>
      <c r="F134" s="17" t="n">
        <v>180000000</v>
      </c>
      <c r="G134" s="17" t="n">
        <v>119271675</v>
      </c>
      <c r="H134" s="18" t="n">
        <v>-33.7</v>
      </c>
      <c r="I134" s="4" t="n">
        <v>97</v>
      </c>
      <c r="J134" s="4" t="n">
        <v>0.31</v>
      </c>
      <c r="K134" s="4" t="n">
        <v>0.26</v>
      </c>
      <c r="L134" s="19" t="n">
        <v>0.0228835729170736</v>
      </c>
      <c r="M134" s="4" t="n">
        <v>0.28</v>
      </c>
      <c r="N134" s="4" t="s">
        <v>59</v>
      </c>
    </row>
    <row r="135" customFormat="false" ht="14.25" hidden="false" customHeight="false" outlineLevel="0" collapsed="false">
      <c r="A135" s="4" t="s">
        <v>242</v>
      </c>
      <c r="B135" s="4" t="s">
        <v>22</v>
      </c>
      <c r="C135" s="4" t="s">
        <v>106</v>
      </c>
      <c r="D135" s="4" t="s">
        <v>243</v>
      </c>
      <c r="E135" s="4" t="n">
        <v>25.1</v>
      </c>
      <c r="F135" s="17" t="n">
        <v>14000000</v>
      </c>
      <c r="G135" s="17" t="n">
        <v>20362940</v>
      </c>
      <c r="H135" s="18" t="n">
        <v>45.4</v>
      </c>
      <c r="I135" s="4" t="n">
        <v>69</v>
      </c>
      <c r="J135" s="4" t="n">
        <v>0.37</v>
      </c>
      <c r="K135" s="4" t="n">
        <v>0.74</v>
      </c>
      <c r="L135" s="19" t="n">
        <v>0.15668605973153</v>
      </c>
      <c r="M135" s="4" t="n">
        <v>0.28</v>
      </c>
      <c r="N135" s="4" t="s">
        <v>48</v>
      </c>
    </row>
    <row r="136" customFormat="false" ht="14.25" hidden="false" customHeight="false" outlineLevel="0" collapsed="false">
      <c r="A136" s="4" t="s">
        <v>244</v>
      </c>
      <c r="B136" s="4" t="s">
        <v>28</v>
      </c>
      <c r="C136" s="4" t="s">
        <v>26</v>
      </c>
      <c r="D136" s="4" t="s">
        <v>245</v>
      </c>
      <c r="E136" s="4" t="n">
        <v>20.7</v>
      </c>
      <c r="F136" s="17" t="n">
        <v>6000000</v>
      </c>
      <c r="G136" s="17" t="n">
        <v>7357776</v>
      </c>
      <c r="H136" s="18" t="n">
        <v>22.6</v>
      </c>
      <c r="I136" s="4" t="n">
        <v>63</v>
      </c>
      <c r="J136" s="4" t="n">
        <v>0.71</v>
      </c>
      <c r="K136" s="4" t="n">
        <v>0.68</v>
      </c>
      <c r="L136" s="19" t="n">
        <v>0.369946006404982</v>
      </c>
      <c r="M136" s="4" t="n">
        <v>0.63</v>
      </c>
      <c r="N136" s="4" t="s">
        <v>48</v>
      </c>
    </row>
    <row r="137" customFormat="false" ht="14.25" hidden="false" customHeight="false" outlineLevel="0" collapsed="false">
      <c r="A137" s="4" t="s">
        <v>246</v>
      </c>
      <c r="B137" s="4" t="s">
        <v>22</v>
      </c>
      <c r="C137" s="4" t="s">
        <v>53</v>
      </c>
      <c r="D137" s="4" t="s">
        <v>68</v>
      </c>
      <c r="E137" s="4" t="n">
        <v>20.4</v>
      </c>
      <c r="F137" s="17" t="n">
        <v>50000000</v>
      </c>
      <c r="G137" s="17" t="n">
        <v>25995243</v>
      </c>
      <c r="H137" s="18" t="n">
        <v>-48</v>
      </c>
      <c r="I137" s="4" t="n">
        <v>72</v>
      </c>
      <c r="J137" s="4" t="n">
        <v>0.74</v>
      </c>
      <c r="K137" s="4" t="n">
        <v>0.15</v>
      </c>
      <c r="L137" s="19" t="n">
        <v>0.0905637405066461</v>
      </c>
      <c r="M137" s="4" t="n">
        <v>0.12</v>
      </c>
      <c r="N137" s="4" t="s">
        <v>59</v>
      </c>
    </row>
    <row r="138" customFormat="false" ht="14.25" hidden="false" customHeight="false" outlineLevel="0" collapsed="false">
      <c r="A138" s="4" t="s">
        <v>247</v>
      </c>
      <c r="B138" s="4" t="s">
        <v>25</v>
      </c>
      <c r="C138" s="4" t="s">
        <v>53</v>
      </c>
      <c r="D138" s="4" t="s">
        <v>63</v>
      </c>
      <c r="E138" s="4" t="n">
        <v>26.7</v>
      </c>
      <c r="F138" s="17" t="n">
        <v>9000000</v>
      </c>
      <c r="G138" s="17" t="n">
        <v>19125771</v>
      </c>
      <c r="H138" s="18" t="n">
        <v>112.5</v>
      </c>
      <c r="I138" s="4" t="n">
        <v>69</v>
      </c>
      <c r="J138" s="4" t="n">
        <v>0.25</v>
      </c>
      <c r="K138" s="4" t="n">
        <v>0.93</v>
      </c>
      <c r="L138" s="19" t="n">
        <v>0.157999657371231</v>
      </c>
      <c r="M138" s="4" t="n">
        <v>0.4</v>
      </c>
      <c r="N138" s="4" t="s">
        <v>48</v>
      </c>
    </row>
    <row r="139" customFormat="false" ht="14.25" hidden="false" customHeight="false" outlineLevel="0" collapsed="false">
      <c r="A139" s="4" t="s">
        <v>248</v>
      </c>
      <c r="B139" s="4" t="s">
        <v>25</v>
      </c>
      <c r="C139" s="4" t="s">
        <v>29</v>
      </c>
      <c r="D139" s="4" t="s">
        <v>188</v>
      </c>
      <c r="E139" s="4" t="n">
        <v>22.1</v>
      </c>
      <c r="F139" s="17" t="n">
        <v>40000000</v>
      </c>
      <c r="G139" s="17" t="n">
        <v>19267617</v>
      </c>
      <c r="H139" s="18" t="n">
        <v>-51.8</v>
      </c>
      <c r="I139" s="4" t="n">
        <v>86</v>
      </c>
      <c r="J139" s="4" t="n">
        <v>0.6</v>
      </c>
      <c r="K139" s="4" t="n">
        <v>0.17</v>
      </c>
      <c r="L139" s="19" t="n">
        <v>0.094330942834546</v>
      </c>
      <c r="M139" s="4" t="n">
        <v>0.54</v>
      </c>
      <c r="N139" s="4" t="s">
        <v>59</v>
      </c>
    </row>
    <row r="140" customFormat="false" ht="14.25" hidden="false" customHeight="false" outlineLevel="0" collapsed="false">
      <c r="A140" s="4" t="s">
        <v>249</v>
      </c>
      <c r="B140" s="4" t="s">
        <v>28</v>
      </c>
      <c r="C140" s="4" t="s">
        <v>26</v>
      </c>
      <c r="D140" s="4" t="s">
        <v>169</v>
      </c>
      <c r="E140" s="4" t="n">
        <v>23.8</v>
      </c>
      <c r="F140" s="17" t="n">
        <v>40000000</v>
      </c>
      <c r="G140" s="17" t="n">
        <v>30876603</v>
      </c>
      <c r="H140" s="18" t="n">
        <v>-22.8</v>
      </c>
      <c r="I140" s="4" t="n">
        <v>82</v>
      </c>
      <c r="J140" s="4" t="n">
        <v>0.48</v>
      </c>
      <c r="K140" s="4" t="n">
        <v>0.41</v>
      </c>
      <c r="L140" s="19" t="n">
        <v>0.0670066039048922</v>
      </c>
      <c r="M140" s="4" t="n">
        <v>0.63</v>
      </c>
      <c r="N140" s="4" t="s">
        <v>59</v>
      </c>
    </row>
    <row r="141" customFormat="false" ht="14.25" hidden="false" customHeight="false" outlineLevel="0" collapsed="false">
      <c r="A141" s="4" t="s">
        <v>250</v>
      </c>
      <c r="B141" s="4" t="s">
        <v>28</v>
      </c>
      <c r="C141" s="4" t="s">
        <v>29</v>
      </c>
      <c r="D141" s="4" t="s">
        <v>251</v>
      </c>
      <c r="E141" s="4" t="n">
        <v>24.2</v>
      </c>
      <c r="F141" s="17" t="n">
        <v>80000000</v>
      </c>
      <c r="G141" s="17" t="n">
        <v>38253639</v>
      </c>
      <c r="H141" s="18" t="n">
        <v>-52.2</v>
      </c>
      <c r="I141" s="4" t="n">
        <v>90</v>
      </c>
      <c r="J141" s="4" t="n">
        <v>0.45</v>
      </c>
      <c r="K141" s="4" t="n">
        <v>0.19</v>
      </c>
      <c r="L141" s="19" t="n">
        <v>0.0648319317804383</v>
      </c>
      <c r="M141" s="4" t="n">
        <v>0.22</v>
      </c>
      <c r="N141" s="4" t="s">
        <v>59</v>
      </c>
    </row>
    <row r="142" customFormat="false" ht="14.25" hidden="false" customHeight="false" outlineLevel="0" collapsed="false">
      <c r="A142" s="4" t="s">
        <v>252</v>
      </c>
      <c r="B142" s="4" t="s">
        <v>28</v>
      </c>
      <c r="C142" s="4" t="s">
        <v>26</v>
      </c>
      <c r="D142" s="4" t="s">
        <v>163</v>
      </c>
      <c r="E142" s="4" t="n">
        <v>23.1</v>
      </c>
      <c r="F142" s="17" t="n">
        <v>6000000</v>
      </c>
      <c r="G142" s="17" t="n">
        <v>5613603</v>
      </c>
      <c r="H142" s="18" t="n">
        <v>-6.4</v>
      </c>
      <c r="I142" s="4" t="n">
        <v>85</v>
      </c>
      <c r="J142" s="4" t="n">
        <v>0.53</v>
      </c>
      <c r="K142" s="4" t="n">
        <v>0.53</v>
      </c>
      <c r="L142" s="19" t="n">
        <v>0.398431762312381</v>
      </c>
      <c r="M142" s="4" t="n">
        <v>0.63</v>
      </c>
      <c r="N142" s="4" t="s">
        <v>59</v>
      </c>
    </row>
    <row r="143" customFormat="false" ht="14.25" hidden="false" customHeight="false" outlineLevel="0" collapsed="false">
      <c r="A143" s="4" t="s">
        <v>253</v>
      </c>
      <c r="B143" s="4" t="s">
        <v>22</v>
      </c>
      <c r="C143" s="4" t="s">
        <v>53</v>
      </c>
      <c r="D143" s="4" t="s">
        <v>63</v>
      </c>
      <c r="E143" s="4" t="n">
        <v>24.9</v>
      </c>
      <c r="F143" s="17" t="n">
        <v>50000000</v>
      </c>
      <c r="G143" s="17" t="n">
        <v>45013360</v>
      </c>
      <c r="H143" s="18" t="n">
        <v>-10</v>
      </c>
      <c r="I143" s="4" t="n">
        <v>77</v>
      </c>
      <c r="J143" s="4" t="n">
        <v>0.39</v>
      </c>
      <c r="K143" s="4" t="n">
        <v>0.45</v>
      </c>
      <c r="L143" s="19" t="n">
        <v>0.0663439715672105</v>
      </c>
      <c r="M143" s="4" t="n">
        <v>0.12</v>
      </c>
      <c r="N143" s="4" t="s">
        <v>59</v>
      </c>
    </row>
    <row r="144" customFormat="false" ht="14.25" hidden="false" customHeight="false" outlineLevel="0" collapsed="false">
      <c r="A144" s="4" t="s">
        <v>254</v>
      </c>
      <c r="B144" s="4" t="s">
        <v>25</v>
      </c>
      <c r="C144" s="4" t="s">
        <v>23</v>
      </c>
      <c r="D144" s="4" t="s">
        <v>98</v>
      </c>
      <c r="E144" s="4" t="n">
        <v>22.2</v>
      </c>
      <c r="F144" s="17" t="n">
        <v>18000000</v>
      </c>
      <c r="G144" s="17" t="n">
        <v>9466197</v>
      </c>
      <c r="H144" s="18" t="n">
        <v>-47.4</v>
      </c>
      <c r="I144" s="4" t="n">
        <v>83</v>
      </c>
      <c r="J144" s="4" t="n">
        <v>0.6</v>
      </c>
      <c r="K144" s="4" t="n">
        <v>0.2</v>
      </c>
      <c r="L144" s="19" t="n">
        <v>0.0913253632832614</v>
      </c>
      <c r="M144" s="4" t="n">
        <v>0.47</v>
      </c>
      <c r="N144" s="4" t="s">
        <v>59</v>
      </c>
    </row>
    <row r="145" customFormat="false" ht="14.25" hidden="false" customHeight="false" outlineLevel="0" collapsed="false">
      <c r="A145" s="4" t="s">
        <v>255</v>
      </c>
      <c r="B145" s="4" t="s">
        <v>28</v>
      </c>
      <c r="C145" s="4" t="s">
        <v>26</v>
      </c>
      <c r="D145" s="4" t="s">
        <v>256</v>
      </c>
      <c r="E145" s="4" t="n">
        <v>25.3</v>
      </c>
      <c r="F145" s="17" t="n">
        <v>35000000</v>
      </c>
      <c r="G145" s="17" t="n">
        <v>30698963</v>
      </c>
      <c r="H145" s="18" t="n">
        <v>-12.3</v>
      </c>
      <c r="I145" s="4" t="n">
        <v>92</v>
      </c>
      <c r="J145" s="4" t="n">
        <v>0.36</v>
      </c>
      <c r="K145" s="4" t="n">
        <v>0.5</v>
      </c>
      <c r="L145" s="19" t="n">
        <v>0.263540517138462</v>
      </c>
      <c r="M145" s="4" t="n">
        <v>0.63</v>
      </c>
      <c r="N145" s="4" t="s">
        <v>59</v>
      </c>
    </row>
    <row r="146" customFormat="false" ht="14.25" hidden="false" customHeight="false" outlineLevel="0" collapsed="false">
      <c r="A146" s="4" t="s">
        <v>257</v>
      </c>
      <c r="B146" s="4" t="s">
        <v>22</v>
      </c>
      <c r="C146" s="4" t="s">
        <v>106</v>
      </c>
      <c r="D146" s="4" t="s">
        <v>258</v>
      </c>
      <c r="E146" s="4" t="n">
        <v>22.5</v>
      </c>
      <c r="F146" s="17" t="n">
        <v>20000000</v>
      </c>
      <c r="G146" s="17" t="n">
        <v>15790847</v>
      </c>
      <c r="H146" s="18" t="n">
        <v>-21</v>
      </c>
      <c r="I146" s="4" t="n">
        <v>74</v>
      </c>
      <c r="J146" s="4" t="n">
        <v>0.58</v>
      </c>
      <c r="K146" s="4" t="n">
        <v>0.34</v>
      </c>
      <c r="L146" s="19" t="n">
        <v>0.13048323129199</v>
      </c>
      <c r="M146" s="4" t="n">
        <v>0.28</v>
      </c>
      <c r="N146" s="4" t="s">
        <v>59</v>
      </c>
    </row>
    <row r="147" customFormat="false" ht="14.25" hidden="false" customHeight="false" outlineLevel="0" collapsed="false">
      <c r="A147" s="4" t="s">
        <v>259</v>
      </c>
      <c r="B147" s="4" t="s">
        <v>25</v>
      </c>
      <c r="C147" s="4" t="s">
        <v>29</v>
      </c>
      <c r="D147" s="4" t="s">
        <v>151</v>
      </c>
      <c r="E147" s="4" t="n">
        <v>25.6</v>
      </c>
      <c r="F147" s="17" t="n">
        <v>28000000</v>
      </c>
      <c r="G147" s="17" t="n">
        <v>19310347</v>
      </c>
      <c r="H147" s="18" t="n">
        <v>-31</v>
      </c>
      <c r="I147" s="4" t="n">
        <v>94</v>
      </c>
      <c r="J147" s="4" t="n">
        <v>0.34</v>
      </c>
      <c r="K147" s="4" t="n">
        <v>0.33</v>
      </c>
      <c r="L147" s="19" t="n">
        <v>0.0858122236293461</v>
      </c>
      <c r="M147" s="4" t="n">
        <v>0.54</v>
      </c>
      <c r="N147" s="4" t="s">
        <v>59</v>
      </c>
    </row>
    <row r="148" customFormat="false" ht="14.25" hidden="false" customHeight="false" outlineLevel="0" collapsed="false">
      <c r="A148" s="4" t="s">
        <v>260</v>
      </c>
      <c r="B148" s="4" t="s">
        <v>22</v>
      </c>
      <c r="C148" s="4" t="s">
        <v>26</v>
      </c>
      <c r="D148" s="4" t="s">
        <v>169</v>
      </c>
      <c r="E148" s="4" t="n">
        <v>26.1</v>
      </c>
      <c r="F148" s="17" t="n">
        <v>30000000</v>
      </c>
      <c r="G148" s="17" t="n">
        <v>32778167</v>
      </c>
      <c r="H148" s="18" t="n">
        <v>9.3</v>
      </c>
      <c r="I148" s="4" t="n">
        <v>81</v>
      </c>
      <c r="J148" s="4" t="n">
        <v>0.3</v>
      </c>
      <c r="K148" s="4" t="n">
        <v>0.59</v>
      </c>
      <c r="L148" s="19" t="n">
        <v>0.227767871246762</v>
      </c>
      <c r="M148" s="4" t="n">
        <v>0.16</v>
      </c>
      <c r="N148" s="4" t="s">
        <v>48</v>
      </c>
    </row>
    <row r="149" customFormat="false" ht="14.25" hidden="false" customHeight="false" outlineLevel="0" collapsed="false">
      <c r="A149" s="4" t="s">
        <v>261</v>
      </c>
      <c r="B149" s="4" t="s">
        <v>22</v>
      </c>
      <c r="C149" s="4" t="s">
        <v>106</v>
      </c>
      <c r="D149" s="4" t="s">
        <v>241</v>
      </c>
      <c r="E149" s="4" t="n">
        <v>24.5</v>
      </c>
      <c r="F149" s="17" t="n">
        <v>170000000</v>
      </c>
      <c r="G149" s="17" t="n">
        <v>89028788</v>
      </c>
      <c r="H149" s="18" t="n">
        <v>-47.6</v>
      </c>
      <c r="I149" s="4" t="n">
        <v>92</v>
      </c>
      <c r="J149" s="4" t="n">
        <v>0.43</v>
      </c>
      <c r="K149" s="4" t="n">
        <v>0.15</v>
      </c>
      <c r="L149" s="19" t="n">
        <v>0.0370387140379977</v>
      </c>
      <c r="M149" s="4" t="n">
        <v>0.28</v>
      </c>
      <c r="N149" s="4" t="s">
        <v>59</v>
      </c>
    </row>
    <row r="150" customFormat="false" ht="14.25" hidden="false" customHeight="false" outlineLevel="0" collapsed="false">
      <c r="A150" s="4" t="s">
        <v>262</v>
      </c>
      <c r="B150" s="4" t="s">
        <v>25</v>
      </c>
      <c r="C150" s="4" t="s">
        <v>29</v>
      </c>
      <c r="D150" s="4" t="s">
        <v>89</v>
      </c>
      <c r="E150" s="4" t="n">
        <v>26.4</v>
      </c>
      <c r="F150" s="17" t="n">
        <v>35000000</v>
      </c>
      <c r="G150" s="17" t="n">
        <v>29545525</v>
      </c>
      <c r="H150" s="18" t="n">
        <v>-15.6</v>
      </c>
      <c r="I150" s="4" t="n">
        <v>91</v>
      </c>
      <c r="J150" s="4" t="n">
        <v>0.27</v>
      </c>
      <c r="K150" s="4" t="n">
        <v>0.45</v>
      </c>
      <c r="L150" s="19" t="n">
        <v>0.0899955431539483</v>
      </c>
      <c r="M150" s="4" t="n">
        <v>0.54</v>
      </c>
      <c r="N150" s="4" t="s">
        <v>59</v>
      </c>
    </row>
    <row r="151" customFormat="false" ht="14.25" hidden="false" customHeight="false" outlineLevel="0" collapsed="false">
      <c r="A151" s="4" t="s">
        <v>263</v>
      </c>
      <c r="B151" s="4" t="s">
        <v>25</v>
      </c>
      <c r="C151" s="4" t="s">
        <v>23</v>
      </c>
      <c r="D151" s="4" t="s">
        <v>264</v>
      </c>
      <c r="E151" s="4" t="n">
        <v>23</v>
      </c>
      <c r="F151" s="17" t="n">
        <v>7000000</v>
      </c>
      <c r="G151" s="17" t="n">
        <v>9417034</v>
      </c>
      <c r="H151" s="18" t="n">
        <v>34.5</v>
      </c>
      <c r="I151" s="4" t="n">
        <v>64</v>
      </c>
      <c r="J151" s="4" t="n">
        <v>0.54</v>
      </c>
      <c r="K151" s="4" t="n">
        <v>0.66</v>
      </c>
      <c r="L151" s="19" t="n">
        <v>0.21322105764392</v>
      </c>
      <c r="M151" s="4" t="n">
        <v>0.47</v>
      </c>
      <c r="N151" s="4" t="s">
        <v>48</v>
      </c>
    </row>
    <row r="152" customFormat="false" ht="14.25" hidden="false" customHeight="false" outlineLevel="0" collapsed="false">
      <c r="A152" s="4" t="s">
        <v>265</v>
      </c>
      <c r="B152" s="4" t="s">
        <v>25</v>
      </c>
      <c r="C152" s="4" t="s">
        <v>23</v>
      </c>
      <c r="D152" s="4" t="s">
        <v>224</v>
      </c>
      <c r="E152" s="4" t="n">
        <v>23.1</v>
      </c>
      <c r="F152" s="17" t="n">
        <v>5000000</v>
      </c>
      <c r="G152" s="17" t="n">
        <v>5265036</v>
      </c>
      <c r="H152" s="18" t="n">
        <v>5.3</v>
      </c>
      <c r="I152" s="4" t="n">
        <v>71</v>
      </c>
      <c r="J152" s="4" t="n">
        <v>0.53</v>
      </c>
      <c r="K152" s="4" t="n">
        <v>0.55</v>
      </c>
      <c r="L152" s="19" t="n">
        <v>0.216210670058136</v>
      </c>
      <c r="M152" s="4" t="n">
        <v>0.47</v>
      </c>
      <c r="N152" s="4" t="s">
        <v>48</v>
      </c>
    </row>
    <row r="153" customFormat="false" ht="14.25" hidden="false" customHeight="false" outlineLevel="0" collapsed="false">
      <c r="A153" s="4" t="s">
        <v>266</v>
      </c>
      <c r="B153" s="4" t="s">
        <v>25</v>
      </c>
      <c r="C153" s="4" t="s">
        <v>23</v>
      </c>
      <c r="D153" s="4" t="s">
        <v>98</v>
      </c>
      <c r="E153" s="4" t="n">
        <v>19.3</v>
      </c>
      <c r="F153" s="17" t="n">
        <v>20000000</v>
      </c>
      <c r="G153" s="17" t="n">
        <v>9546465</v>
      </c>
      <c r="H153" s="18" t="n">
        <v>-52.3</v>
      </c>
      <c r="I153" s="4" t="n">
        <v>66</v>
      </c>
      <c r="J153" s="4" t="n">
        <v>0.82</v>
      </c>
      <c r="K153" s="4" t="n">
        <v>0.17</v>
      </c>
      <c r="L153" s="19" t="n">
        <v>0.0843484809464736</v>
      </c>
      <c r="M153" s="4" t="n">
        <v>0.47</v>
      </c>
      <c r="N153" s="4" t="s">
        <v>59</v>
      </c>
    </row>
    <row r="154" customFormat="false" ht="14.25" hidden="false" customHeight="false" outlineLevel="0" collapsed="false">
      <c r="A154" s="4" t="s">
        <v>267</v>
      </c>
      <c r="B154" s="4" t="s">
        <v>28</v>
      </c>
      <c r="C154" s="4" t="s">
        <v>29</v>
      </c>
      <c r="D154" s="4" t="s">
        <v>117</v>
      </c>
      <c r="E154" s="4" t="n">
        <v>21.2</v>
      </c>
      <c r="F154" s="17" t="n">
        <v>22000000</v>
      </c>
      <c r="G154" s="17" t="n">
        <v>24307329</v>
      </c>
      <c r="H154" s="18" t="n">
        <v>10.5</v>
      </c>
      <c r="I154" s="4" t="n">
        <v>49</v>
      </c>
      <c r="J154" s="4" t="n">
        <v>0.68</v>
      </c>
      <c r="K154" s="4" t="n">
        <v>0.6</v>
      </c>
      <c r="L154" s="19" t="n">
        <v>0.135999845558413</v>
      </c>
      <c r="M154" s="4" t="n">
        <v>0.22</v>
      </c>
      <c r="N154" s="4" t="s">
        <v>48</v>
      </c>
    </row>
    <row r="156" customFormat="false" ht="14.25" hidden="false" customHeight="false" outlineLevel="0" collapsed="false">
      <c r="A156" s="2" t="s">
        <v>268</v>
      </c>
    </row>
  </sheetData>
  <autoFilter ref="A4:N154"/>
  <conditionalFormatting sqref="L5:L154">
    <cfRule type="cellIs" priority="2" operator="greaterThanOrEqual" aboveAverage="0" equalAverage="0" bottom="0" percent="0" rank="0" text="" dxfId="40">
      <formula>0.3</formula>
    </cfRule>
    <cfRule type="cellIs" priority="3" operator="lessThan" aboveAverage="0" equalAverage="0" bottom="0" percent="0" rank="0" text="" dxfId="41">
      <formula>0.15</formula>
    </cfRule>
  </conditionalFormatting>
  <conditionalFormatting sqref="I5:I156">
    <cfRule type="colorScale" priority="4">
      <colorScale>
        <cfvo type="min" val="0"/>
        <cfvo type="percentile" val="50"/>
        <cfvo type="max" val="0"/>
        <color rgb="FFFCE4E0"/>
        <color rgb="FFFFF2CC"/>
        <color rgb="FFDEEAF6"/>
      </colorScale>
    </cfRule>
  </conditionalFormatting>
  <conditionalFormatting sqref="L5:L156">
    <cfRule type="colorScale" priority="5">
      <colorScale>
        <cfvo type="min" val="0"/>
        <cfvo type="percentile" val="50"/>
        <cfvo type="max" val="0"/>
        <color rgb="FFDEEAF6"/>
        <color rgb="FFFFF2CC"/>
        <color rgb="FFF4B9AC"/>
      </colorScale>
    </cfRule>
  </conditionalFormatting>
  <conditionalFormatting sqref="H5:H156">
    <cfRule type="dataBar" priority="6">
      <dataBar showValue="1" minLength="10" maxLength="90">
        <cfvo type="min" val="0"/>
        <cfvo type="max" val="0"/>
        <color rgb="FF2E75B6"/>
      </dataBar>
      <extLst>
        <ext xmlns:x14="http://schemas.microsoft.com/office/spreadsheetml/2009/9/main" uri="{B025F937-C7B1-47D3-B67F-A62EFF666E3E}">
          <x14:id>{95688AC2-AD11-4B59-86FA-996868E68ACE}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688AC2-AD11-4B59-86FA-996868E68ACE}">
            <x14:dataBar minLength="10" maxLength="90" axisPosition="none" gradient="true">
              <x14:cfvo type="min"/>
              <x14:cfvo type="max"/>
              <x14:negativeFillColor rgb="FF2E75B6"/>
              <x14:axisColor rgb="FF000000"/>
            </x14:dataBar>
          </x14:cfRule>
          <xm:sqref>H5:H156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5"/>
    <col collapsed="false" customWidth="true" hidden="false" outlineLevel="0" max="4" min="3" style="0" width="17"/>
    <col collapsed="false" customWidth="true" hidden="false" outlineLevel="0" max="5" min="5" style="0" width="11"/>
    <col collapsed="false" customWidth="true" hidden="false" outlineLevel="0" max="6" min="6" style="0" width="58"/>
  </cols>
  <sheetData>
    <row r="1" customFormat="false" ht="19.5" hidden="false" customHeight="true" outlineLevel="0" collapsed="false">
      <c r="A1" s="1" t="s">
        <v>269</v>
      </c>
    </row>
    <row r="2" customFormat="false" ht="14.25" hidden="false" customHeight="false" outlineLevel="0" collapsed="false">
      <c r="A2" s="2" t="s">
        <v>270</v>
      </c>
    </row>
    <row r="4" customFormat="false" ht="14.25" hidden="false" customHeight="false" outlineLevel="0" collapsed="false">
      <c r="A4" s="3" t="s">
        <v>271</v>
      </c>
    </row>
    <row r="5" customFormat="false" ht="30" hidden="false" customHeight="true" outlineLevel="0" collapsed="false">
      <c r="A5" s="8" t="s">
        <v>272</v>
      </c>
      <c r="B5" s="8" t="s">
        <v>273</v>
      </c>
      <c r="C5" s="8" t="s">
        <v>274</v>
      </c>
      <c r="D5" s="8" t="s">
        <v>275</v>
      </c>
      <c r="E5" s="8" t="s">
        <v>35</v>
      </c>
      <c r="F5" s="8" t="s">
        <v>276</v>
      </c>
    </row>
    <row r="6" customFormat="false" ht="14.25" hidden="false" customHeight="false" outlineLevel="0" collapsed="false">
      <c r="A6" s="20" t="n">
        <v>20</v>
      </c>
      <c r="B6" s="20" t="n">
        <v>20</v>
      </c>
      <c r="C6" s="20" t="n">
        <f aca="false">A6-B6</f>
        <v>0</v>
      </c>
      <c r="D6" s="9" t="n">
        <v>88</v>
      </c>
      <c r="E6" s="21" t="n">
        <v>0.309</v>
      </c>
      <c r="F6" s="9" t="s">
        <v>277</v>
      </c>
    </row>
    <row r="7" customFormat="false" ht="14.25" hidden="false" customHeight="false" outlineLevel="0" collapsed="false">
      <c r="A7" s="20" t="n">
        <v>35</v>
      </c>
      <c r="B7" s="20" t="n">
        <v>34</v>
      </c>
      <c r="C7" s="20" t="n">
        <f aca="false">A7-B7</f>
        <v>1</v>
      </c>
      <c r="D7" s="9" t="n">
        <v>92</v>
      </c>
      <c r="E7" s="21" t="n">
        <v>0.192</v>
      </c>
      <c r="F7" s="9" t="s">
        <v>278</v>
      </c>
    </row>
    <row r="8" customFormat="false" ht="14.25" hidden="false" customHeight="false" outlineLevel="0" collapsed="false">
      <c r="A8" s="20" t="n">
        <v>50</v>
      </c>
      <c r="B8" s="20" t="n">
        <v>48</v>
      </c>
      <c r="C8" s="20" t="n">
        <f aca="false">A8-B8</f>
        <v>2</v>
      </c>
      <c r="D8" s="9" t="n">
        <v>88</v>
      </c>
      <c r="E8" s="21" t="n">
        <v>0.171</v>
      </c>
      <c r="F8" s="9" t="s">
        <v>279</v>
      </c>
    </row>
    <row r="9" customFormat="false" ht="14.25" hidden="false" customHeight="false" outlineLevel="0" collapsed="false">
      <c r="A9" s="20" t="n">
        <v>75</v>
      </c>
      <c r="B9" s="20" t="n">
        <v>52</v>
      </c>
      <c r="C9" s="20" t="n">
        <f aca="false">A9-B9</f>
        <v>23</v>
      </c>
      <c r="D9" s="9" t="n">
        <v>92</v>
      </c>
      <c r="E9" s="21" t="n">
        <v>0.113</v>
      </c>
      <c r="F9" s="9" t="s">
        <v>280</v>
      </c>
    </row>
    <row r="10" customFormat="false" ht="14.25" hidden="false" customHeight="false" outlineLevel="0" collapsed="false">
      <c r="A10" s="20" t="n">
        <v>100</v>
      </c>
      <c r="B10" s="20" t="n">
        <v>52</v>
      </c>
      <c r="C10" s="20" t="n">
        <f aca="false">A10-B10</f>
        <v>48</v>
      </c>
      <c r="D10" s="9" t="n">
        <v>92</v>
      </c>
      <c r="E10" s="21" t="n">
        <v>0.113</v>
      </c>
      <c r="F10" s="9" t="s">
        <v>280</v>
      </c>
    </row>
    <row r="12" customFormat="false" ht="15" hidden="false" customHeight="true" outlineLevel="0" collapsed="false">
      <c r="A12" s="22" t="s">
        <v>281</v>
      </c>
      <c r="B12" s="22"/>
      <c r="C12" s="22"/>
      <c r="D12" s="22"/>
      <c r="E12" s="22"/>
      <c r="F12" s="22"/>
    </row>
    <row r="13" customFormat="false" ht="14.25" hidden="false" customHeight="false" outlineLevel="0" collapsed="false">
      <c r="A13" s="22"/>
      <c r="B13" s="22"/>
      <c r="C13" s="22"/>
      <c r="D13" s="22"/>
      <c r="E13" s="22"/>
      <c r="F13" s="22"/>
    </row>
    <row r="14" customFormat="false" ht="14.25" hidden="false" customHeight="false" outlineLevel="0" collapsed="false">
      <c r="A14" s="22"/>
      <c r="B14" s="22"/>
      <c r="C14" s="22"/>
      <c r="D14" s="22"/>
      <c r="E14" s="22"/>
      <c r="F14" s="22"/>
    </row>
    <row r="17" customFormat="false" ht="14.25" hidden="false" customHeight="false" outlineLevel="0" collapsed="false">
      <c r="A17" s="3" t="s">
        <v>282</v>
      </c>
    </row>
    <row r="18" customFormat="false" ht="30" hidden="false" customHeight="true" outlineLevel="0" collapsed="false">
      <c r="A18" s="8" t="s">
        <v>283</v>
      </c>
      <c r="B18" s="8" t="s">
        <v>284</v>
      </c>
      <c r="C18" s="8" t="s">
        <v>275</v>
      </c>
      <c r="D18" s="8" t="s">
        <v>285</v>
      </c>
      <c r="E18" s="8" t="s">
        <v>286</v>
      </c>
    </row>
    <row r="19" customFormat="false" ht="14.25" hidden="false" customHeight="false" outlineLevel="0" collapsed="false">
      <c r="A19" s="9" t="s">
        <v>287</v>
      </c>
      <c r="B19" s="20" t="n">
        <v>48</v>
      </c>
      <c r="C19" s="9" t="n">
        <v>88</v>
      </c>
      <c r="D19" s="21" t="n">
        <v>0.171</v>
      </c>
      <c r="E19" s="20" t="n">
        <v>20.4</v>
      </c>
    </row>
    <row r="20" customFormat="false" ht="14.25" hidden="false" customHeight="false" outlineLevel="0" collapsed="false">
      <c r="A20" s="9" t="s">
        <v>288</v>
      </c>
      <c r="B20" s="20" t="n">
        <v>7</v>
      </c>
      <c r="C20" s="9" t="n">
        <v>69</v>
      </c>
      <c r="D20" s="21" t="n">
        <v>0.493</v>
      </c>
      <c r="E20" s="20" t="n">
        <v>26.5</v>
      </c>
    </row>
    <row r="21" customFormat="false" ht="14.25" hidden="false" customHeight="false" outlineLevel="0" collapsed="false">
      <c r="A21" s="9" t="s">
        <v>289</v>
      </c>
      <c r="B21" s="20" t="n">
        <v>3</v>
      </c>
      <c r="C21" s="9" t="n">
        <v>70</v>
      </c>
      <c r="D21" s="21" t="n">
        <v>0.664</v>
      </c>
      <c r="E21" s="20" t="n">
        <v>35.5</v>
      </c>
    </row>
    <row r="23" customFormat="false" ht="14.25" hidden="false" customHeight="false" outlineLevel="0" collapsed="false">
      <c r="A23" s="2" t="s">
        <v>290</v>
      </c>
    </row>
  </sheetData>
  <mergeCells count="1">
    <mergeCell ref="A12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2"/>
    <col collapsed="false" customWidth="true" hidden="false" outlineLevel="0" max="9" min="5" style="0" width="14"/>
  </cols>
  <sheetData>
    <row r="1" customFormat="false" ht="19.5" hidden="false" customHeight="true" outlineLevel="0" collapsed="false">
      <c r="A1" s="1" t="s">
        <v>291</v>
      </c>
    </row>
    <row r="2" customFormat="false" ht="14.25" hidden="false" customHeight="false" outlineLevel="0" collapsed="false">
      <c r="A2" s="2" t="s">
        <v>292</v>
      </c>
    </row>
    <row r="4" customFormat="false" ht="16.5" hidden="false" customHeight="true" outlineLevel="0" collapsed="false">
      <c r="A4" s="23" t="s">
        <v>21</v>
      </c>
    </row>
    <row r="5" customFormat="false" ht="14.25" hidden="false" customHeight="false" outlineLevel="0" collapsed="false">
      <c r="A5" s="2" t="s">
        <v>293</v>
      </c>
    </row>
    <row r="7" customFormat="false" ht="14.25" hidden="false" customHeight="false" outlineLevel="0" collapsed="false">
      <c r="A7" s="4" t="s">
        <v>294</v>
      </c>
      <c r="B7" s="10" t="n">
        <v>18000000</v>
      </c>
      <c r="D7" s="3" t="s">
        <v>295</v>
      </c>
    </row>
    <row r="8" customFormat="false" ht="14.25" hidden="false" customHeight="false" outlineLevel="0" collapsed="false">
      <c r="A8" s="4" t="s">
        <v>296</v>
      </c>
      <c r="B8" s="10" t="n">
        <v>31076445</v>
      </c>
      <c r="D8" s="2" t="s">
        <v>297</v>
      </c>
    </row>
    <row r="9" customFormat="false" ht="14.25" hidden="false" customHeight="false" outlineLevel="0" collapsed="false">
      <c r="A9" s="4" t="s">
        <v>298</v>
      </c>
      <c r="B9" s="24" t="n">
        <v>0.726469145899914</v>
      </c>
      <c r="D9" s="4" t="s">
        <v>299</v>
      </c>
    </row>
    <row r="10" customFormat="false" ht="21.75" hidden="false" customHeight="true" outlineLevel="0" collapsed="false">
      <c r="A10" s="4" t="s">
        <v>300</v>
      </c>
      <c r="B10" s="25" t="n">
        <v>90</v>
      </c>
      <c r="D10" s="26" t="s">
        <v>301</v>
      </c>
      <c r="E10" s="26"/>
      <c r="F10" s="26"/>
      <c r="G10" s="26"/>
      <c r="H10" s="26"/>
      <c r="I10" s="26"/>
    </row>
    <row r="11" customFormat="false" ht="14.25" hidden="false" customHeight="false" outlineLevel="0" collapsed="false">
      <c r="A11" s="4" t="s">
        <v>302</v>
      </c>
      <c r="B11" s="27" t="n">
        <v>0.762280840309588</v>
      </c>
      <c r="D11" s="4" t="s">
        <v>303</v>
      </c>
    </row>
    <row r="12" customFormat="false" ht="21.75" hidden="false" customHeight="true" outlineLevel="0" collapsed="false">
      <c r="A12" s="4" t="s">
        <v>44</v>
      </c>
      <c r="B12" s="27" t="n">
        <v>0.817941952506596</v>
      </c>
      <c r="D12" s="26" t="s">
        <v>304</v>
      </c>
      <c r="E12" s="26"/>
      <c r="F12" s="26"/>
      <c r="G12" s="26"/>
      <c r="H12" s="26"/>
      <c r="I12" s="26"/>
    </row>
    <row r="13" customFormat="false" ht="14.25" hidden="false" customHeight="false" outlineLevel="0" collapsed="false">
      <c r="A13" s="4" t="s">
        <v>305</v>
      </c>
      <c r="B13" s="21" t="n">
        <v>0.1353</v>
      </c>
    </row>
    <row r="14" customFormat="false" ht="14.25" hidden="false" customHeight="false" outlineLevel="0" collapsed="false">
      <c r="A14" s="4" t="s">
        <v>306</v>
      </c>
      <c r="B14" s="27" t="n">
        <v>0.0742705570291777</v>
      </c>
      <c r="D14" s="3" t="s">
        <v>307</v>
      </c>
    </row>
    <row r="15" customFormat="false" ht="14.25" hidden="false" customHeight="false" outlineLevel="0" collapsed="false">
      <c r="D15" s="2" t="s">
        <v>308</v>
      </c>
    </row>
    <row r="16" customFormat="false" ht="15" hidden="false" customHeight="true" outlineLevel="0" collapsed="false">
      <c r="D16" s="26" t="s">
        <v>309</v>
      </c>
      <c r="E16" s="26"/>
      <c r="F16" s="26"/>
      <c r="G16" s="26"/>
      <c r="H16" s="26"/>
      <c r="I16" s="26"/>
    </row>
    <row r="17" customFormat="false" ht="14.25" hidden="false" customHeight="false" outlineLevel="0" collapsed="false">
      <c r="D17" s="26"/>
      <c r="E17" s="26"/>
      <c r="F17" s="26"/>
      <c r="G17" s="26"/>
      <c r="H17" s="26"/>
      <c r="I17" s="26"/>
    </row>
    <row r="18" customFormat="false" ht="14.25" hidden="false" customHeight="false" outlineLevel="0" collapsed="false">
      <c r="D18" s="3" t="s">
        <v>310</v>
      </c>
    </row>
    <row r="19" customFormat="false" ht="15" hidden="false" customHeight="true" outlineLevel="0" collapsed="false">
      <c r="D19" s="26" t="s">
        <v>311</v>
      </c>
      <c r="E19" s="26"/>
      <c r="F19" s="26"/>
      <c r="G19" s="26"/>
      <c r="H19" s="26"/>
      <c r="I19" s="26"/>
    </row>
    <row r="20" customFormat="false" ht="14.25" hidden="false" customHeight="false" outlineLevel="0" collapsed="false">
      <c r="D20" s="26"/>
      <c r="E20" s="26"/>
      <c r="F20" s="26"/>
      <c r="G20" s="26"/>
      <c r="H20" s="26"/>
      <c r="I20" s="26"/>
    </row>
    <row r="21" customFormat="false" ht="14.25" hidden="false" customHeight="false" outlineLevel="0" collapsed="false">
      <c r="D21" s="26"/>
      <c r="E21" s="26"/>
      <c r="F21" s="26"/>
      <c r="G21" s="26"/>
      <c r="H21" s="26"/>
      <c r="I21" s="26"/>
    </row>
    <row r="26" customFormat="false" ht="16.5" hidden="false" customHeight="true" outlineLevel="0" collapsed="false">
      <c r="A26" s="23" t="s">
        <v>24</v>
      </c>
    </row>
    <row r="27" customFormat="false" ht="14.25" hidden="false" customHeight="false" outlineLevel="0" collapsed="false">
      <c r="A27" s="2" t="s">
        <v>312</v>
      </c>
    </row>
    <row r="29" customFormat="false" ht="14.25" hidden="false" customHeight="false" outlineLevel="0" collapsed="false">
      <c r="A29" s="4" t="s">
        <v>294</v>
      </c>
      <c r="B29" s="10" t="n">
        <v>10000000</v>
      </c>
      <c r="D29" s="3" t="s">
        <v>295</v>
      </c>
    </row>
    <row r="30" customFormat="false" ht="14.25" hidden="false" customHeight="false" outlineLevel="0" collapsed="false">
      <c r="A30" s="4" t="s">
        <v>296</v>
      </c>
      <c r="B30" s="10" t="n">
        <v>27139273</v>
      </c>
      <c r="D30" s="2" t="s">
        <v>297</v>
      </c>
    </row>
    <row r="31" customFormat="false" ht="14.25" hidden="false" customHeight="false" outlineLevel="0" collapsed="false">
      <c r="A31" s="4" t="s">
        <v>298</v>
      </c>
      <c r="B31" s="24" t="n">
        <v>1.71392725638567</v>
      </c>
      <c r="D31" s="4" t="s">
        <v>299</v>
      </c>
    </row>
    <row r="32" customFormat="false" ht="21.75" hidden="false" customHeight="true" outlineLevel="0" collapsed="false">
      <c r="A32" s="4" t="s">
        <v>300</v>
      </c>
      <c r="B32" s="25" t="n">
        <v>89</v>
      </c>
      <c r="D32" s="26" t="s">
        <v>313</v>
      </c>
      <c r="E32" s="26"/>
      <c r="F32" s="26"/>
      <c r="G32" s="26"/>
      <c r="H32" s="26"/>
      <c r="I32" s="26"/>
    </row>
    <row r="33" customFormat="false" ht="14.25" hidden="false" customHeight="false" outlineLevel="0" collapsed="false">
      <c r="A33" s="4" t="s">
        <v>302</v>
      </c>
      <c r="B33" s="27" t="n">
        <v>0.691307323750855</v>
      </c>
      <c r="D33" s="4" t="s">
        <v>303</v>
      </c>
    </row>
    <row r="34" customFormat="false" ht="21.75" hidden="false" customHeight="true" outlineLevel="0" collapsed="false">
      <c r="A34" s="4" t="s">
        <v>44</v>
      </c>
      <c r="B34" s="27" t="n">
        <v>0.931458699472759</v>
      </c>
      <c r="D34" s="26" t="s">
        <v>314</v>
      </c>
      <c r="E34" s="26"/>
      <c r="F34" s="26"/>
      <c r="G34" s="26"/>
      <c r="H34" s="26"/>
      <c r="I34" s="26"/>
    </row>
    <row r="35" customFormat="false" ht="14.25" hidden="false" customHeight="false" outlineLevel="0" collapsed="false">
      <c r="A35" s="4" t="s">
        <v>305</v>
      </c>
      <c r="B35" s="21" t="n">
        <v>0.1292</v>
      </c>
    </row>
    <row r="36" customFormat="false" ht="14.25" hidden="false" customHeight="false" outlineLevel="0" collapsed="false">
      <c r="A36" s="4" t="s">
        <v>306</v>
      </c>
      <c r="B36" s="27" t="n">
        <v>0.788461538461538</v>
      </c>
      <c r="D36" s="3" t="s">
        <v>307</v>
      </c>
    </row>
    <row r="37" customFormat="false" ht="14.25" hidden="false" customHeight="false" outlineLevel="0" collapsed="false">
      <c r="D37" s="2" t="s">
        <v>308</v>
      </c>
    </row>
    <row r="38" customFormat="false" ht="15" hidden="false" customHeight="true" outlineLevel="0" collapsed="false">
      <c r="D38" s="26" t="s">
        <v>315</v>
      </c>
      <c r="E38" s="26"/>
      <c r="F38" s="26"/>
      <c r="G38" s="26"/>
      <c r="H38" s="26"/>
      <c r="I38" s="26"/>
    </row>
    <row r="39" customFormat="false" ht="14.25" hidden="false" customHeight="false" outlineLevel="0" collapsed="false">
      <c r="D39" s="26"/>
      <c r="E39" s="26"/>
      <c r="F39" s="26"/>
      <c r="G39" s="26"/>
      <c r="H39" s="26"/>
      <c r="I39" s="26"/>
    </row>
    <row r="40" customFormat="false" ht="14.25" hidden="false" customHeight="false" outlineLevel="0" collapsed="false">
      <c r="D40" s="3" t="s">
        <v>310</v>
      </c>
    </row>
    <row r="41" customFormat="false" ht="15" hidden="false" customHeight="true" outlineLevel="0" collapsed="false">
      <c r="D41" s="26" t="s">
        <v>311</v>
      </c>
      <c r="E41" s="26"/>
      <c r="F41" s="26"/>
      <c r="G41" s="26"/>
      <c r="H41" s="26"/>
      <c r="I41" s="26"/>
    </row>
    <row r="42" customFormat="false" ht="14.25" hidden="false" customHeight="false" outlineLevel="0" collapsed="false">
      <c r="D42" s="26"/>
      <c r="E42" s="26"/>
      <c r="F42" s="26"/>
      <c r="G42" s="26"/>
      <c r="H42" s="26"/>
      <c r="I42" s="26"/>
    </row>
    <row r="43" customFormat="false" ht="14.25" hidden="false" customHeight="false" outlineLevel="0" collapsed="false">
      <c r="D43" s="26"/>
      <c r="E43" s="26"/>
      <c r="F43" s="26"/>
      <c r="G43" s="26"/>
      <c r="H43" s="26"/>
      <c r="I43" s="26"/>
    </row>
    <row r="48" customFormat="false" ht="16.5" hidden="false" customHeight="true" outlineLevel="0" collapsed="false">
      <c r="A48" s="23" t="s">
        <v>27</v>
      </c>
    </row>
    <row r="49" customFormat="false" ht="14.25" hidden="false" customHeight="false" outlineLevel="0" collapsed="false">
      <c r="A49" s="2" t="s">
        <v>316</v>
      </c>
    </row>
    <row r="51" customFormat="false" ht="14.25" hidden="false" customHeight="false" outlineLevel="0" collapsed="false">
      <c r="A51" s="4" t="s">
        <v>294</v>
      </c>
      <c r="B51" s="10" t="n">
        <v>20000000</v>
      </c>
      <c r="D51" s="3" t="s">
        <v>295</v>
      </c>
    </row>
    <row r="52" customFormat="false" ht="14.25" hidden="false" customHeight="false" outlineLevel="0" collapsed="false">
      <c r="A52" s="4" t="s">
        <v>296</v>
      </c>
      <c r="B52" s="10" t="n">
        <v>20297220</v>
      </c>
      <c r="D52" s="2" t="s">
        <v>297</v>
      </c>
    </row>
    <row r="53" customFormat="false" ht="14.25" hidden="false" customHeight="false" outlineLevel="0" collapsed="false">
      <c r="A53" s="4" t="s">
        <v>298</v>
      </c>
      <c r="B53" s="24" t="n">
        <v>0.0148610186567821</v>
      </c>
      <c r="D53" s="4" t="s">
        <v>299</v>
      </c>
    </row>
    <row r="54" customFormat="false" ht="21.75" hidden="false" customHeight="true" outlineLevel="0" collapsed="false">
      <c r="A54" s="4" t="s">
        <v>300</v>
      </c>
      <c r="B54" s="25" t="n">
        <v>86</v>
      </c>
      <c r="D54" s="26" t="s">
        <v>317</v>
      </c>
      <c r="E54" s="26"/>
      <c r="F54" s="26"/>
      <c r="G54" s="26"/>
      <c r="H54" s="26"/>
      <c r="I54" s="26"/>
    </row>
    <row r="55" customFormat="false" ht="14.25" hidden="false" customHeight="false" outlineLevel="0" collapsed="false">
      <c r="A55" s="4" t="s">
        <v>302</v>
      </c>
      <c r="B55" s="27" t="n">
        <v>0.767335334070447</v>
      </c>
      <c r="D55" s="4" t="s">
        <v>303</v>
      </c>
    </row>
    <row r="56" customFormat="false" ht="21.75" hidden="false" customHeight="true" outlineLevel="0" collapsed="false">
      <c r="A56" s="4" t="s">
        <v>44</v>
      </c>
      <c r="B56" s="27" t="n">
        <v>0.567264573991031</v>
      </c>
      <c r="D56" s="26" t="s">
        <v>318</v>
      </c>
      <c r="E56" s="26"/>
      <c r="F56" s="26"/>
      <c r="G56" s="26"/>
      <c r="H56" s="26"/>
      <c r="I56" s="26"/>
    </row>
    <row r="57" customFormat="false" ht="14.25" hidden="false" customHeight="false" outlineLevel="0" collapsed="false">
      <c r="A57" s="4" t="s">
        <v>305</v>
      </c>
      <c r="B57" s="21" t="n">
        <v>0.2486</v>
      </c>
    </row>
    <row r="58" customFormat="false" ht="14.25" hidden="false" customHeight="false" outlineLevel="0" collapsed="false">
      <c r="A58" s="4" t="s">
        <v>306</v>
      </c>
      <c r="B58" s="27" t="n">
        <v>0.218832891246684</v>
      </c>
      <c r="D58" s="3" t="s">
        <v>307</v>
      </c>
    </row>
    <row r="59" customFormat="false" ht="14.25" hidden="false" customHeight="false" outlineLevel="0" collapsed="false">
      <c r="D59" s="2" t="s">
        <v>308</v>
      </c>
    </row>
    <row r="60" customFormat="false" ht="15" hidden="false" customHeight="true" outlineLevel="0" collapsed="false">
      <c r="D60" s="26" t="s">
        <v>319</v>
      </c>
      <c r="E60" s="26"/>
      <c r="F60" s="26"/>
      <c r="G60" s="26"/>
      <c r="H60" s="26"/>
      <c r="I60" s="26"/>
    </row>
    <row r="61" customFormat="false" ht="14.25" hidden="false" customHeight="false" outlineLevel="0" collapsed="false">
      <c r="D61" s="26"/>
      <c r="E61" s="26"/>
      <c r="F61" s="26"/>
      <c r="G61" s="26"/>
      <c r="H61" s="26"/>
      <c r="I61" s="26"/>
    </row>
    <row r="62" customFormat="false" ht="14.25" hidden="false" customHeight="false" outlineLevel="0" collapsed="false">
      <c r="D62" s="3" t="s">
        <v>310</v>
      </c>
    </row>
    <row r="63" customFormat="false" ht="15" hidden="false" customHeight="true" outlineLevel="0" collapsed="false">
      <c r="D63" s="26" t="s">
        <v>311</v>
      </c>
      <c r="E63" s="26"/>
      <c r="F63" s="26"/>
      <c r="G63" s="26"/>
      <c r="H63" s="26"/>
      <c r="I63" s="26"/>
    </row>
    <row r="64" customFormat="false" ht="14.25" hidden="false" customHeight="false" outlineLevel="0" collapsed="false">
      <c r="D64" s="26"/>
      <c r="E64" s="26"/>
      <c r="F64" s="26"/>
      <c r="G64" s="26"/>
      <c r="H64" s="26"/>
      <c r="I64" s="26"/>
    </row>
    <row r="65" customFormat="false" ht="14.25" hidden="false" customHeight="false" outlineLevel="0" collapsed="false">
      <c r="D65" s="26"/>
      <c r="E65" s="26"/>
      <c r="F65" s="26"/>
      <c r="G65" s="26"/>
      <c r="H65" s="26"/>
      <c r="I65" s="26"/>
    </row>
  </sheetData>
  <mergeCells count="12">
    <mergeCell ref="D10:I10"/>
    <mergeCell ref="D12:I12"/>
    <mergeCell ref="D16:I17"/>
    <mergeCell ref="D19:I21"/>
    <mergeCell ref="D32:I32"/>
    <mergeCell ref="D34:I34"/>
    <mergeCell ref="D38:I39"/>
    <mergeCell ref="D41:I43"/>
    <mergeCell ref="D54:I54"/>
    <mergeCell ref="D56:I56"/>
    <mergeCell ref="D60:I61"/>
    <mergeCell ref="D63:I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56"/>
    <col collapsed="false" customWidth="true" hidden="false" outlineLevel="0" max="6" min="6" style="0" width="14"/>
  </cols>
  <sheetData>
    <row r="1" customFormat="false" ht="19.5" hidden="false" customHeight="true" outlineLevel="0" collapsed="false">
      <c r="A1" s="1" t="s">
        <v>320</v>
      </c>
    </row>
    <row r="2" customFormat="false" ht="14.25" hidden="false" customHeight="false" outlineLevel="0" collapsed="false">
      <c r="A2" s="2" t="s">
        <v>321</v>
      </c>
    </row>
    <row r="4" customFormat="false" ht="14.25" hidden="false" customHeight="false" outlineLevel="0" collapsed="false">
      <c r="A4" s="3" t="s">
        <v>322</v>
      </c>
    </row>
    <row r="5" customFormat="false" ht="30" hidden="false" customHeight="true" outlineLevel="0" collapsed="false">
      <c r="A5" s="8" t="s">
        <v>323</v>
      </c>
      <c r="B5" s="8" t="s">
        <v>43</v>
      </c>
      <c r="C5" s="8" t="s">
        <v>44</v>
      </c>
      <c r="D5" s="8" t="s">
        <v>324</v>
      </c>
      <c r="E5" s="8" t="s">
        <v>276</v>
      </c>
      <c r="F5" s="8" t="s">
        <v>284</v>
      </c>
    </row>
    <row r="6" customFormat="false" ht="14.25" hidden="false" customHeight="false" outlineLevel="0" collapsed="false">
      <c r="A6" s="27" t="n">
        <v>0.35</v>
      </c>
      <c r="B6" s="27" t="n">
        <v>0.25</v>
      </c>
      <c r="C6" s="27" t="n">
        <v>0.2</v>
      </c>
      <c r="D6" s="27" t="n">
        <v>0.2</v>
      </c>
      <c r="E6" s="9" t="s">
        <v>279</v>
      </c>
      <c r="F6" s="20" t="n">
        <v>48</v>
      </c>
    </row>
    <row r="7" customFormat="false" ht="14.25" hidden="false" customHeight="false" outlineLevel="0" collapsed="false">
      <c r="A7" s="27" t="n">
        <v>0.5</v>
      </c>
      <c r="B7" s="27" t="n">
        <v>0.2</v>
      </c>
      <c r="C7" s="27" t="n">
        <v>0.15</v>
      </c>
      <c r="D7" s="27" t="n">
        <v>0.15</v>
      </c>
      <c r="E7" s="9" t="s">
        <v>325</v>
      </c>
      <c r="F7" s="20" t="n">
        <v>50</v>
      </c>
    </row>
    <row r="8" customFormat="false" ht="14.25" hidden="false" customHeight="false" outlineLevel="0" collapsed="false">
      <c r="A8" s="27" t="n">
        <v>0.25</v>
      </c>
      <c r="B8" s="27" t="n">
        <v>0.35</v>
      </c>
      <c r="C8" s="27" t="n">
        <v>0.2</v>
      </c>
      <c r="D8" s="27" t="n">
        <v>0.2</v>
      </c>
      <c r="E8" s="9" t="s">
        <v>279</v>
      </c>
      <c r="F8" s="20" t="n">
        <v>48</v>
      </c>
    </row>
    <row r="9" customFormat="false" ht="14.25" hidden="false" customHeight="false" outlineLevel="0" collapsed="false">
      <c r="A9" s="27" t="n">
        <v>0.3</v>
      </c>
      <c r="B9" s="27" t="n">
        <v>0.2</v>
      </c>
      <c r="C9" s="27" t="n">
        <v>0.35</v>
      </c>
      <c r="D9" s="27" t="n">
        <v>0.15</v>
      </c>
      <c r="E9" s="9" t="s">
        <v>326</v>
      </c>
      <c r="F9" s="20" t="n">
        <v>39</v>
      </c>
    </row>
    <row r="10" customFormat="false" ht="14.25" hidden="false" customHeight="false" outlineLevel="0" collapsed="false">
      <c r="A10" s="27" t="n">
        <v>0.3</v>
      </c>
      <c r="B10" s="27" t="n">
        <v>0.2</v>
      </c>
      <c r="C10" s="27" t="n">
        <v>0.15</v>
      </c>
      <c r="D10" s="27" t="n">
        <v>0.35</v>
      </c>
      <c r="E10" s="9" t="s">
        <v>325</v>
      </c>
      <c r="F10" s="20" t="n">
        <v>50</v>
      </c>
    </row>
    <row r="11" customFormat="false" ht="14.25" hidden="false" customHeight="false" outlineLevel="0" collapsed="false">
      <c r="A11" s="27" t="n">
        <v>0.25</v>
      </c>
      <c r="B11" s="27" t="n">
        <v>0.25</v>
      </c>
      <c r="C11" s="27" t="n">
        <v>0.25</v>
      </c>
      <c r="D11" s="27" t="n">
        <v>0.25</v>
      </c>
      <c r="E11" s="9" t="s">
        <v>279</v>
      </c>
      <c r="F11" s="20" t="n">
        <v>48</v>
      </c>
    </row>
    <row r="14" customFormat="false" ht="14.25" hidden="false" customHeight="false" outlineLevel="0" collapsed="false">
      <c r="A14" s="3" t="s">
        <v>327</v>
      </c>
    </row>
    <row r="15" customFormat="false" ht="30" hidden="false" customHeight="true" outlineLevel="0" collapsed="false">
      <c r="A15" s="8" t="s">
        <v>13</v>
      </c>
      <c r="B15" s="8" t="s">
        <v>328</v>
      </c>
      <c r="C15" s="8" t="s">
        <v>329</v>
      </c>
    </row>
    <row r="16" customFormat="false" ht="14.25" hidden="false" customHeight="false" outlineLevel="0" collapsed="false">
      <c r="A16" s="4" t="s">
        <v>21</v>
      </c>
      <c r="B16" s="4" t="s">
        <v>330</v>
      </c>
      <c r="C16" s="19" t="n">
        <v>1</v>
      </c>
    </row>
    <row r="17" customFormat="false" ht="14.25" hidden="false" customHeight="false" outlineLevel="0" collapsed="false">
      <c r="A17" s="4" t="s">
        <v>24</v>
      </c>
      <c r="B17" s="4" t="s">
        <v>331</v>
      </c>
      <c r="C17" s="19" t="n">
        <v>0.666666666666667</v>
      </c>
    </row>
    <row r="18" customFormat="false" ht="14.25" hidden="false" customHeight="false" outlineLevel="0" collapsed="false">
      <c r="A18" s="4" t="s">
        <v>27</v>
      </c>
      <c r="B18" s="4" t="s">
        <v>332</v>
      </c>
      <c r="C18" s="19" t="n">
        <v>0.5</v>
      </c>
    </row>
    <row r="19" customFormat="false" ht="14.25" hidden="false" customHeight="false" outlineLevel="0" collapsed="false">
      <c r="A19" s="4" t="s">
        <v>52</v>
      </c>
      <c r="B19" s="4" t="s">
        <v>333</v>
      </c>
      <c r="C19" s="19" t="n">
        <v>0.333333333333333</v>
      </c>
    </row>
    <row r="20" customFormat="false" ht="14.25" hidden="false" customHeight="false" outlineLevel="0" collapsed="false">
      <c r="A20" s="4" t="s">
        <v>70</v>
      </c>
      <c r="B20" s="4" t="s">
        <v>333</v>
      </c>
      <c r="C20" s="19" t="n">
        <v>0.333333333333333</v>
      </c>
    </row>
    <row r="21" customFormat="false" ht="14.25" hidden="false" customHeight="false" outlineLevel="0" collapsed="false">
      <c r="A21" s="4" t="s">
        <v>86</v>
      </c>
      <c r="B21" s="4" t="s">
        <v>334</v>
      </c>
      <c r="C21" s="19" t="n">
        <v>0.166666666666667</v>
      </c>
    </row>
    <row r="23" customFormat="false" ht="15" hidden="false" customHeight="true" outlineLevel="0" collapsed="false">
      <c r="A23" s="22" t="s">
        <v>335</v>
      </c>
      <c r="B23" s="22"/>
      <c r="C23" s="22"/>
      <c r="D23" s="22"/>
      <c r="E23" s="22"/>
      <c r="F23" s="22"/>
    </row>
    <row r="24" customFormat="false" ht="14.25" hidden="false" customHeight="false" outlineLevel="0" collapsed="false">
      <c r="A24" s="22"/>
      <c r="B24" s="22"/>
      <c r="C24" s="22"/>
      <c r="D24" s="22"/>
      <c r="E24" s="22"/>
      <c r="F24" s="22"/>
    </row>
  </sheetData>
  <mergeCells count="1">
    <mergeCell ref="A23:F24"/>
  </mergeCells>
  <conditionalFormatting sqref="C16:C21">
    <cfRule type="dataBar" priority="2">
      <dataBar showValue="1" minLength="10" maxLength="90">
        <cfvo type="num" val="0"/>
        <cfvo type="num" val="1"/>
        <color rgb="FF2E75B6"/>
      </dataBar>
      <extLst>
        <ext xmlns:x14="http://schemas.microsoft.com/office/spreadsheetml/2009/9/main" uri="{B025F937-C7B1-47D3-B67F-A62EFF666E3E}">
          <x14:id>{9840BE9D-0033-42A3-B716-5B9EEDEFBCB4}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40BE9D-0033-42A3-B716-5B9EEDEFBCB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5B6"/>
              <x14:axisColor rgb="FF000000"/>
            </x14:dataBar>
          </x14:cfRule>
          <xm:sqref>C16:C21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6"/>
    <col collapsed="false" customWidth="true" hidden="false" outlineLevel="0" max="3" min="3" style="0" width="44"/>
  </cols>
  <sheetData>
    <row r="1" customFormat="false" ht="19.5" hidden="false" customHeight="true" outlineLevel="0" collapsed="false">
      <c r="A1" s="1" t="s">
        <v>336</v>
      </c>
    </row>
    <row r="2" customFormat="false" ht="14.25" hidden="false" customHeight="false" outlineLevel="0" collapsed="false">
      <c r="A2" s="2" t="s">
        <v>337</v>
      </c>
    </row>
    <row r="4" customFormat="false" ht="30" hidden="false" customHeight="true" outlineLevel="0" collapsed="false">
      <c r="A4" s="8" t="s">
        <v>338</v>
      </c>
      <c r="B4" s="8" t="s">
        <v>339</v>
      </c>
      <c r="C4" s="8" t="s">
        <v>340</v>
      </c>
    </row>
    <row r="5" customFormat="false" ht="14.25" hidden="false" customHeight="false" outlineLevel="0" collapsed="false">
      <c r="A5" s="28" t="s">
        <v>341</v>
      </c>
      <c r="B5" s="28"/>
      <c r="C5" s="28"/>
    </row>
    <row r="6" customFormat="false" ht="14.25" hidden="false" customHeight="false" outlineLevel="0" collapsed="false">
      <c r="A6" s="29" t="s">
        <v>342</v>
      </c>
      <c r="B6" s="29" t="s">
        <v>343</v>
      </c>
      <c r="C6" s="29"/>
    </row>
    <row r="7" customFormat="false" ht="14.25" hidden="false" customHeight="false" outlineLevel="0" collapsed="false">
      <c r="A7" s="29" t="s">
        <v>344</v>
      </c>
      <c r="B7" s="29" t="s">
        <v>345</v>
      </c>
      <c r="C7" s="29"/>
    </row>
    <row r="8" customFormat="false" ht="14.25" hidden="false" customHeight="false" outlineLevel="0" collapsed="false">
      <c r="A8" s="29" t="s">
        <v>346</v>
      </c>
      <c r="B8" s="29" t="s">
        <v>347</v>
      </c>
      <c r="C8" s="29"/>
    </row>
    <row r="9" customFormat="false" ht="14.25" hidden="false" customHeight="false" outlineLevel="0" collapsed="false">
      <c r="A9" s="29" t="s">
        <v>348</v>
      </c>
      <c r="B9" s="29" t="s">
        <v>349</v>
      </c>
      <c r="C9" s="29"/>
    </row>
    <row r="10" customFormat="false" ht="14.25" hidden="false" customHeight="false" outlineLevel="0" collapsed="false">
      <c r="A10" s="29" t="s">
        <v>350</v>
      </c>
      <c r="B10" s="29" t="s">
        <v>351</v>
      </c>
      <c r="C10" s="29" t="s">
        <v>352</v>
      </c>
    </row>
    <row r="11" customFormat="false" ht="14.25" hidden="false" customHeight="false" outlineLevel="0" collapsed="false">
      <c r="A11" s="29" t="s">
        <v>353</v>
      </c>
      <c r="B11" s="29" t="s">
        <v>354</v>
      </c>
      <c r="C11" s="29"/>
    </row>
    <row r="12" customFormat="false" ht="14.25" hidden="false" customHeight="false" outlineLevel="0" collapsed="false">
      <c r="A12" s="29" t="s">
        <v>355</v>
      </c>
      <c r="B12" s="29" t="s">
        <v>356</v>
      </c>
      <c r="C12" s="29" t="s">
        <v>357</v>
      </c>
    </row>
    <row r="13" customFormat="false" ht="14.25" hidden="false" customHeight="false" outlineLevel="0" collapsed="false">
      <c r="A13" s="29"/>
      <c r="B13" s="29"/>
      <c r="C13" s="29"/>
    </row>
    <row r="14" customFormat="false" ht="14.25" hidden="false" customHeight="false" outlineLevel="0" collapsed="false">
      <c r="A14" s="28" t="s">
        <v>358</v>
      </c>
      <c r="B14" s="28"/>
      <c r="C14" s="28"/>
    </row>
    <row r="15" customFormat="false" ht="14.25" hidden="false" customHeight="false" outlineLevel="0" collapsed="false">
      <c r="A15" s="29" t="s">
        <v>339</v>
      </c>
      <c r="B15" s="29" t="s">
        <v>359</v>
      </c>
      <c r="C15" s="29" t="s">
        <v>360</v>
      </c>
    </row>
    <row r="16" customFormat="false" ht="24.75" hidden="false" customHeight="true" outlineLevel="0" collapsed="false">
      <c r="A16" s="29" t="s">
        <v>361</v>
      </c>
      <c r="B16" s="29" t="s">
        <v>362</v>
      </c>
      <c r="C16" s="29" t="s">
        <v>363</v>
      </c>
    </row>
    <row r="17" customFormat="false" ht="14.25" hidden="false" customHeight="false" outlineLevel="0" collapsed="false">
      <c r="A17" s="29" t="s">
        <v>364</v>
      </c>
      <c r="B17" s="29" t="s">
        <v>365</v>
      </c>
      <c r="C17" s="29" t="s">
        <v>366</v>
      </c>
    </row>
    <row r="18" customFormat="false" ht="14.25" hidden="false" customHeight="false" outlineLevel="0" collapsed="false">
      <c r="A18" s="29"/>
      <c r="B18" s="29"/>
      <c r="C18" s="29"/>
    </row>
    <row r="19" customFormat="false" ht="14.25" hidden="false" customHeight="false" outlineLevel="0" collapsed="false">
      <c r="A19" s="28" t="s">
        <v>367</v>
      </c>
      <c r="B19" s="28"/>
      <c r="C19" s="28"/>
    </row>
    <row r="20" customFormat="false" ht="14.25" hidden="false" customHeight="false" outlineLevel="0" collapsed="false">
      <c r="A20" s="29" t="s">
        <v>368</v>
      </c>
      <c r="B20" s="29" t="s">
        <v>369</v>
      </c>
      <c r="C20" s="29" t="s">
        <v>370</v>
      </c>
    </row>
    <row r="21" customFormat="false" ht="14.25" hidden="false" customHeight="false" outlineLevel="0" collapsed="false">
      <c r="A21" s="29" t="s">
        <v>371</v>
      </c>
      <c r="B21" s="29" t="s">
        <v>372</v>
      </c>
      <c r="C21" s="29" t="s">
        <v>373</v>
      </c>
    </row>
    <row r="22" customFormat="false" ht="14.25" hidden="false" customHeight="false" outlineLevel="0" collapsed="false">
      <c r="A22" s="29" t="s">
        <v>374</v>
      </c>
      <c r="B22" s="29" t="s">
        <v>375</v>
      </c>
      <c r="C22" s="29" t="s">
        <v>376</v>
      </c>
    </row>
    <row r="23" customFormat="false" ht="14.25" hidden="false" customHeight="false" outlineLevel="0" collapsed="false">
      <c r="A23" s="29" t="s">
        <v>377</v>
      </c>
      <c r="B23" s="29" t="s">
        <v>378</v>
      </c>
      <c r="C23" s="29" t="s">
        <v>379</v>
      </c>
    </row>
    <row r="24" customFormat="false" ht="14.25" hidden="false" customHeight="false" outlineLevel="0" collapsed="false">
      <c r="A24" s="29" t="s">
        <v>380</v>
      </c>
      <c r="B24" s="29" t="s">
        <v>381</v>
      </c>
      <c r="C24" s="29" t="s">
        <v>382</v>
      </c>
    </row>
    <row r="25" customFormat="false" ht="14.25" hidden="false" customHeight="false" outlineLevel="0" collapsed="false">
      <c r="A25" s="29"/>
      <c r="B25" s="29"/>
      <c r="C25" s="29"/>
    </row>
    <row r="26" customFormat="false" ht="14.25" hidden="false" customHeight="false" outlineLevel="0" collapsed="false">
      <c r="A26" s="28" t="s">
        <v>383</v>
      </c>
      <c r="B26" s="28"/>
      <c r="C26" s="28"/>
    </row>
    <row r="27" customFormat="false" ht="14.25" hidden="false" customHeight="false" outlineLevel="0" collapsed="false">
      <c r="A27" s="29" t="s">
        <v>384</v>
      </c>
      <c r="B27" s="29" t="s">
        <v>385</v>
      </c>
      <c r="C27" s="29"/>
    </row>
    <row r="28" customFormat="false" ht="14.25" hidden="false" customHeight="false" outlineLevel="0" collapsed="false">
      <c r="A28" s="29" t="s">
        <v>386</v>
      </c>
      <c r="B28" s="29" t="s">
        <v>387</v>
      </c>
      <c r="C28" s="29" t="s">
        <v>388</v>
      </c>
    </row>
    <row r="29" customFormat="false" ht="14.25" hidden="false" customHeight="false" outlineLevel="0" collapsed="false">
      <c r="A29" s="29" t="s">
        <v>389</v>
      </c>
      <c r="B29" s="29" t="s">
        <v>390</v>
      </c>
      <c r="C29" s="29" t="s">
        <v>391</v>
      </c>
    </row>
    <row r="30" customFormat="false" ht="14.25" hidden="false" customHeight="false" outlineLevel="0" collapsed="false">
      <c r="A30" s="29"/>
      <c r="B30" s="29"/>
      <c r="C30" s="29"/>
    </row>
    <row r="31" customFormat="false" ht="14.25" hidden="false" customHeight="false" outlineLevel="0" collapsed="false">
      <c r="A31" s="28" t="s">
        <v>392</v>
      </c>
      <c r="B31" s="28"/>
      <c r="C31" s="28"/>
    </row>
    <row r="32" customFormat="false" ht="14.25" hidden="false" customHeight="false" outlineLevel="0" collapsed="false">
      <c r="A32" s="29" t="s">
        <v>339</v>
      </c>
      <c r="B32" s="29" t="s">
        <v>393</v>
      </c>
      <c r="C32" s="29" t="s">
        <v>394</v>
      </c>
    </row>
    <row r="33" customFormat="false" ht="14.25" hidden="false" customHeight="false" outlineLevel="0" collapsed="false">
      <c r="A33" s="29" t="s">
        <v>395</v>
      </c>
      <c r="B33" s="29" t="s">
        <v>396</v>
      </c>
      <c r="C33" s="29" t="s">
        <v>397</v>
      </c>
    </row>
    <row r="34" customFormat="false" ht="14.25" hidden="false" customHeight="false" outlineLevel="0" collapsed="false">
      <c r="A34" s="29" t="s">
        <v>398</v>
      </c>
      <c r="B34" s="29" t="s">
        <v>399</v>
      </c>
      <c r="C34" s="29" t="s">
        <v>400</v>
      </c>
    </row>
    <row r="35" customFormat="false" ht="14.25" hidden="false" customHeight="false" outlineLevel="0" collapsed="false">
      <c r="A35" s="29"/>
      <c r="B35" s="29"/>
      <c r="C35" s="29"/>
    </row>
    <row r="36" customFormat="false" ht="14.25" hidden="false" customHeight="false" outlineLevel="0" collapsed="false">
      <c r="A36" s="28" t="s">
        <v>401</v>
      </c>
      <c r="B36" s="28"/>
      <c r="C36" s="28"/>
    </row>
    <row r="37" customFormat="false" ht="14.25" hidden="false" customHeight="false" outlineLevel="0" collapsed="false">
      <c r="A37" s="29" t="s">
        <v>402</v>
      </c>
      <c r="B37" s="29" t="s">
        <v>403</v>
      </c>
      <c r="C37" s="29" t="s">
        <v>404</v>
      </c>
    </row>
    <row r="38" customFormat="false" ht="24.75" hidden="false" customHeight="true" outlineLevel="0" collapsed="false">
      <c r="A38" s="29" t="s">
        <v>323</v>
      </c>
      <c r="B38" s="29" t="s">
        <v>405</v>
      </c>
      <c r="C38" s="29" t="s">
        <v>406</v>
      </c>
    </row>
    <row r="39" customFormat="false" ht="14.25" hidden="false" customHeight="false" outlineLevel="0" collapsed="false">
      <c r="A39" s="29" t="s">
        <v>43</v>
      </c>
      <c r="B39" s="29" t="s">
        <v>407</v>
      </c>
      <c r="C39" s="29" t="s">
        <v>408</v>
      </c>
    </row>
    <row r="40" customFormat="false" ht="14.25" hidden="false" customHeight="false" outlineLevel="0" collapsed="false">
      <c r="A40" s="29" t="s">
        <v>44</v>
      </c>
      <c r="B40" s="29" t="s">
        <v>409</v>
      </c>
      <c r="C40" s="29"/>
    </row>
    <row r="41" customFormat="false" ht="14.25" hidden="false" customHeight="false" outlineLevel="0" collapsed="false">
      <c r="A41" s="29" t="s">
        <v>410</v>
      </c>
      <c r="B41" s="29" t="s">
        <v>411</v>
      </c>
      <c r="C41" s="29"/>
    </row>
    <row r="42" customFormat="false" ht="14.25" hidden="false" customHeight="false" outlineLevel="0" collapsed="false">
      <c r="A42" s="29" t="s">
        <v>45</v>
      </c>
      <c r="B42" s="29" t="s">
        <v>412</v>
      </c>
      <c r="C42" s="29" t="s">
        <v>413</v>
      </c>
    </row>
    <row r="43" customFormat="false" ht="14.25" hidden="false" customHeight="false" outlineLevel="0" collapsed="false">
      <c r="A43" s="29" t="s">
        <v>414</v>
      </c>
      <c r="B43" s="29" t="s">
        <v>415</v>
      </c>
      <c r="C43" s="29" t="s">
        <v>416</v>
      </c>
    </row>
    <row r="44" customFormat="false" ht="14.25" hidden="false" customHeight="false" outlineLevel="0" collapsed="false">
      <c r="A44" s="29"/>
      <c r="B44" s="29"/>
      <c r="C44" s="29"/>
    </row>
    <row r="45" customFormat="false" ht="14.25" hidden="false" customHeight="false" outlineLevel="0" collapsed="false">
      <c r="A45" s="28" t="s">
        <v>417</v>
      </c>
      <c r="B45" s="28"/>
      <c r="C45" s="28"/>
    </row>
    <row r="46" customFormat="false" ht="14.25" hidden="false" customHeight="false" outlineLevel="0" collapsed="false">
      <c r="A46" s="29" t="s">
        <v>418</v>
      </c>
      <c r="B46" s="29" t="s">
        <v>419</v>
      </c>
      <c r="C46" s="29"/>
    </row>
    <row r="47" customFormat="false" ht="14.25" hidden="false" customHeight="false" outlineLevel="0" collapsed="false">
      <c r="A47" s="29" t="s">
        <v>420</v>
      </c>
      <c r="B47" s="29" t="s">
        <v>421</v>
      </c>
      <c r="C47" s="29"/>
    </row>
    <row r="48" customFormat="false" ht="14.25" hidden="false" customHeight="false" outlineLevel="0" collapsed="false">
      <c r="A48" s="29" t="s">
        <v>422</v>
      </c>
      <c r="B48" s="29" t="s">
        <v>423</v>
      </c>
      <c r="C48" s="29"/>
    </row>
    <row r="49" customFormat="false" ht="14.25" hidden="false" customHeight="false" outlineLevel="0" collapsed="false">
      <c r="A49" s="29" t="s">
        <v>424</v>
      </c>
      <c r="B49" s="29" t="s">
        <v>425</v>
      </c>
      <c r="C49" s="29"/>
    </row>
    <row r="50" customFormat="false" ht="14.25" hidden="false" customHeight="false" outlineLevel="0" collapsed="false">
      <c r="A50" s="29" t="s">
        <v>426</v>
      </c>
      <c r="B50" s="29" t="s">
        <v>427</v>
      </c>
      <c r="C50" s="29"/>
    </row>
    <row r="51" customFormat="false" ht="14.25" hidden="false" customHeight="false" outlineLevel="0" collapsed="false">
      <c r="A51" s="29" t="s">
        <v>428</v>
      </c>
      <c r="B51" s="29" t="s">
        <v>429</v>
      </c>
      <c r="C51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2" min="1" style="0" width="40"/>
    <col collapsed="false" customWidth="true" hidden="false" outlineLevel="0" max="3" min="3" style="0" width="44"/>
  </cols>
  <sheetData>
    <row r="1" customFormat="false" ht="19.5" hidden="false" customHeight="true" outlineLevel="0" collapsed="false">
      <c r="A1" s="1" t="s">
        <v>430</v>
      </c>
    </row>
    <row r="2" customFormat="false" ht="14.25" hidden="false" customHeight="false" outlineLevel="0" collapsed="false">
      <c r="A2" s="2" t="s">
        <v>431</v>
      </c>
    </row>
    <row r="4" customFormat="false" ht="30" hidden="false" customHeight="true" outlineLevel="0" collapsed="false">
      <c r="A4" s="8" t="s">
        <v>432</v>
      </c>
      <c r="B4" s="8" t="s">
        <v>433</v>
      </c>
      <c r="C4" s="8" t="s">
        <v>434</v>
      </c>
    </row>
    <row r="5" customFormat="false" ht="14.25" hidden="false" customHeight="false" outlineLevel="0" collapsed="false">
      <c r="A5" s="4" t="s">
        <v>435</v>
      </c>
      <c r="B5" s="4" t="s">
        <v>436</v>
      </c>
      <c r="C5" s="4" t="s">
        <v>437</v>
      </c>
    </row>
    <row r="6" customFormat="false" ht="14.25" hidden="false" customHeight="false" outlineLevel="0" collapsed="false">
      <c r="A6" s="4" t="s">
        <v>438</v>
      </c>
      <c r="B6" s="4" t="s">
        <v>439</v>
      </c>
      <c r="C6" s="4" t="s">
        <v>440</v>
      </c>
    </row>
    <row r="7" customFormat="false" ht="14.25" hidden="false" customHeight="false" outlineLevel="0" collapsed="false">
      <c r="A7" s="4" t="s">
        <v>353</v>
      </c>
      <c r="B7" s="4" t="s">
        <v>441</v>
      </c>
      <c r="C7" s="4" t="s">
        <v>442</v>
      </c>
    </row>
    <row r="8" customFormat="false" ht="14.25" hidden="false" customHeight="false" outlineLevel="0" collapsed="false">
      <c r="A8" s="4" t="s">
        <v>443</v>
      </c>
      <c r="B8" s="4" t="s">
        <v>444</v>
      </c>
      <c r="C8" s="4" t="s">
        <v>442</v>
      </c>
    </row>
    <row r="9" customFormat="false" ht="14.25" hidden="false" customHeight="false" outlineLevel="0" collapsed="false">
      <c r="A9" s="4" t="s">
        <v>445</v>
      </c>
      <c r="B9" s="4" t="s">
        <v>446</v>
      </c>
      <c r="C9" s="4" t="s">
        <v>447</v>
      </c>
    </row>
    <row r="10" customFormat="false" ht="14.25" hidden="false" customHeight="false" outlineLevel="0" collapsed="false">
      <c r="A10" s="4" t="s">
        <v>448</v>
      </c>
      <c r="B10" s="4" t="s">
        <v>449</v>
      </c>
      <c r="C10" s="4" t="s">
        <v>450</v>
      </c>
    </row>
    <row r="11" customFormat="false" ht="14.25" hidden="false" customHeight="false" outlineLevel="0" collapsed="false">
      <c r="A11" s="4" t="s">
        <v>451</v>
      </c>
      <c r="B11" s="4" t="s">
        <v>452</v>
      </c>
      <c r="C11" s="4" t="s">
        <v>450</v>
      </c>
    </row>
    <row r="12" customFormat="false" ht="14.25" hidden="false" customHeight="false" outlineLevel="0" collapsed="false">
      <c r="A12" s="4" t="s">
        <v>453</v>
      </c>
      <c r="B12" s="4" t="s">
        <v>396</v>
      </c>
      <c r="C12" s="4" t="s">
        <v>454</v>
      </c>
    </row>
    <row r="13" customFormat="false" ht="14.25" hidden="false" customHeight="false" outlineLevel="0" collapsed="false">
      <c r="A13" s="4" t="s">
        <v>455</v>
      </c>
      <c r="B13" s="4" t="s">
        <v>456</v>
      </c>
      <c r="C13" s="4" t="s">
        <v>457</v>
      </c>
    </row>
    <row r="14" customFormat="false" ht="14.25" hidden="false" customHeight="false" outlineLevel="0" collapsed="false">
      <c r="A14" s="4" t="s">
        <v>458</v>
      </c>
      <c r="B14" s="4" t="s">
        <v>459</v>
      </c>
      <c r="C14" s="4" t="s">
        <v>457</v>
      </c>
    </row>
    <row r="15" customFormat="false" ht="14.25" hidden="false" customHeight="false" outlineLevel="0" collapsed="false">
      <c r="A15" s="4" t="s">
        <v>460</v>
      </c>
      <c r="B15" s="4" t="s">
        <v>461</v>
      </c>
      <c r="C15" s="4" t="s">
        <v>462</v>
      </c>
    </row>
    <row r="16" customFormat="false" ht="14.25" hidden="false" customHeight="false" outlineLevel="0" collapsed="false">
      <c r="A16" s="4" t="s">
        <v>463</v>
      </c>
      <c r="B16" s="4" t="s">
        <v>464</v>
      </c>
      <c r="C16" s="4" t="s">
        <v>465</v>
      </c>
    </row>
    <row r="17" customFormat="false" ht="14.25" hidden="false" customHeight="false" outlineLevel="0" collapsed="false">
      <c r="A17" s="4" t="s">
        <v>466</v>
      </c>
      <c r="B17" s="4" t="s">
        <v>467</v>
      </c>
      <c r="C17" s="4" t="s">
        <v>468</v>
      </c>
    </row>
    <row r="18" customFormat="false" ht="14.25" hidden="false" customHeight="false" outlineLevel="0" collapsed="false">
      <c r="A18" s="4" t="s">
        <v>469</v>
      </c>
      <c r="B18" s="4" t="s">
        <v>470</v>
      </c>
      <c r="C18" s="4" t="s">
        <v>471</v>
      </c>
    </row>
    <row r="19" customFormat="false" ht="14.25" hidden="false" customHeight="false" outlineLevel="0" collapsed="false">
      <c r="A19" s="4" t="s">
        <v>472</v>
      </c>
      <c r="B19" s="4" t="s">
        <v>473</v>
      </c>
      <c r="C19" s="4" t="s">
        <v>474</v>
      </c>
    </row>
    <row r="20" customFormat="false" ht="14.25" hidden="false" customHeight="false" outlineLevel="0" collapsed="false">
      <c r="A20" s="4" t="s">
        <v>475</v>
      </c>
      <c r="B20" s="4" t="s">
        <v>476</v>
      </c>
      <c r="C20" s="4" t="s">
        <v>477</v>
      </c>
    </row>
    <row r="21" customFormat="false" ht="14.25" hidden="false" customHeight="false" outlineLevel="0" collapsed="false">
      <c r="A21" s="4"/>
      <c r="B21" s="4"/>
      <c r="C21" s="4"/>
    </row>
    <row r="22" customFormat="false" ht="14.25" hidden="false" customHeight="false" outlineLevel="0" collapsed="false">
      <c r="A22" s="30" t="s">
        <v>478</v>
      </c>
      <c r="B22" s="30"/>
      <c r="C22" s="30"/>
    </row>
    <row r="23" customFormat="false" ht="14.25" hidden="false" customHeight="false" outlineLevel="0" collapsed="false">
      <c r="A23" s="4" t="s">
        <v>479</v>
      </c>
      <c r="B23" s="4" t="s">
        <v>480</v>
      </c>
      <c r="C23" s="4" t="s">
        <v>481</v>
      </c>
    </row>
    <row r="24" customFormat="false" ht="14.25" hidden="false" customHeight="false" outlineLevel="0" collapsed="false">
      <c r="A24" s="4" t="s">
        <v>482</v>
      </c>
      <c r="B24" s="4" t="s">
        <v>483</v>
      </c>
      <c r="C24" s="4" t="s">
        <v>474</v>
      </c>
    </row>
    <row r="25" customFormat="false" ht="14.25" hidden="false" customHeight="false" outlineLevel="0" collapsed="false">
      <c r="A25" s="4" t="s">
        <v>484</v>
      </c>
      <c r="B25" s="4" t="s">
        <v>483</v>
      </c>
      <c r="C25" s="4" t="s">
        <v>474</v>
      </c>
    </row>
    <row r="26" customFormat="false" ht="14.25" hidden="false" customHeight="false" outlineLevel="0" collapsed="false">
      <c r="A26" s="4" t="s">
        <v>485</v>
      </c>
      <c r="B26" s="4" t="s">
        <v>480</v>
      </c>
      <c r="C26" s="4" t="s">
        <v>486</v>
      </c>
    </row>
    <row r="27" customFormat="false" ht="14.25" hidden="false" customHeight="false" outlineLevel="0" collapsed="false">
      <c r="A27" s="4" t="s">
        <v>487</v>
      </c>
      <c r="B27" s="4" t="s">
        <v>480</v>
      </c>
      <c r="C27" s="4" t="s">
        <v>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2026-08-27T12:55:11Z</dcterms:created>
  <dc:creator>openpyxl</dc:creator>
  <dc:description/>
  <dc:language>en-US</dc:language>
  <cp:lastModifiedBy/>
  <dcterms:modified xsi:type="dcterms:W3CDTF">2026-09-02T16:07:58Z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